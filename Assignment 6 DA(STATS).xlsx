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W Course\Assignments\"/>
    </mc:Choice>
  </mc:AlternateContent>
  <xr:revisionPtr revIDLastSave="0" documentId="13_ncr:1_{60D23ACD-7D93-4BF3-B3A1-C96E9B5889CB}" xr6:coauthVersionLast="47" xr6:coauthVersionMax="47" xr10:uidLastSave="{00000000-0000-0000-0000-000000000000}"/>
  <bookViews>
    <workbookView xWindow="-108" yWindow="-108" windowWidth="23256" windowHeight="12456" xr2:uid="{29EA1032-8DD9-4301-ABF6-855EF30C1B54}"/>
  </bookViews>
  <sheets>
    <sheet name="Question 1,2,3,4,5,6,7,8,9,10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3" i="1"/>
  <c r="D19" i="1"/>
  <c r="D34" i="1"/>
  <c r="C57" i="1"/>
  <c r="C68" i="1"/>
  <c r="B84" i="1"/>
  <c r="C149" i="1"/>
  <c r="C148" i="1"/>
  <c r="C147" i="1"/>
  <c r="C146" i="1"/>
  <c r="C145" i="1"/>
  <c r="G121" i="1"/>
  <c r="G120" i="1"/>
</calcChain>
</file>

<file path=xl/sharedStrings.xml><?xml version="1.0" encoding="utf-8"?>
<sst xmlns="http://schemas.openxmlformats.org/spreadsheetml/2006/main" count="100" uniqueCount="91">
  <si>
    <t>Answer1</t>
  </si>
  <si>
    <t>The sales data is:</t>
  </si>
  <si>
    <t xml:space="preserve"> Most representative value: About 12.4 dozens</t>
  </si>
  <si>
    <t xml:space="preserve"> Why this is the best measure?</t>
  </si>
  <si>
    <t>The data is fairly consistent (no outliers).</t>
  </si>
  <si>
    <t>The values are close to each other, so the mean accurately reflects the central pattern.</t>
  </si>
  <si>
    <t>The median (12) and mode (12) are also close, confirming that the data is stable.</t>
  </si>
  <si>
    <t>Answer2</t>
  </si>
  <si>
    <t>The quiz scores are:</t>
  </si>
  <si>
    <t>What does this tell us about the class performance?</t>
  </si>
  <si>
    <t>The average score is fairly high, showing that students performed well overall.</t>
  </si>
  <si>
    <t>Most scores are close to the mean, indicating consistent performance across the class.</t>
  </si>
  <si>
    <t>There are no extremely low marks, so the mean is a reliable indicator of the class’s understanding.</t>
  </si>
  <si>
    <t>Answer3</t>
  </si>
  <si>
    <t>Shoe sizes sold:</t>
  </si>
  <si>
    <t>Count each size:</t>
  </si>
  <si>
    <t>Size 7 → 2 times</t>
  </si>
  <si>
    <t>Size 8 → 3 times</t>
  </si>
  <si>
    <t>Size 9 → 2 times</t>
  </si>
  <si>
    <t>Size 10 → 1 time</t>
  </si>
  <si>
    <t xml:space="preserve"> Why is this useful for the store manager?</t>
  </si>
  <si>
    <t>Size 8 is the most frequently sold shoe size.</t>
  </si>
  <si>
    <t>This helps the manager understand customer demand.</t>
  </si>
  <si>
    <t>They can stock more size 8 shoes to avoid shortages.</t>
  </si>
  <si>
    <t>It improves inventory planning and ensures better sales.</t>
  </si>
  <si>
    <t xml:space="preserve">If you want, I can help you write all central tendency answers in one </t>
  </si>
  <si>
    <t>Answer4</t>
  </si>
  <si>
    <t>The data is already in ascending order.</t>
  </si>
  <si>
    <t>Since there are 5 values, the median is the middle (3rd) value.</t>
  </si>
  <si>
    <t>The dataset contains an extreme outlier:$50,000</t>
  </si>
  <si>
    <t>which is much higher than the other prices.</t>
  </si>
  <si>
    <t>If we calculate the mean, this one very large value will pull the average upward, giving a misleading picture of typical car prices.</t>
  </si>
  <si>
    <t>The median is resistant to outliers, so it gives a more accurate representation of what most used cars actually cost.</t>
  </si>
  <si>
    <t>Puzzle‑solving times:</t>
  </si>
  <si>
    <t xml:space="preserve"> What Does the Range Tell Us?</t>
  </si>
  <si>
    <t>The student’s puzzle‑solving time varies by 15 minutes across the week.</t>
  </si>
  <si>
    <t>This means the student is not perfectly consistent — some days they finish much faster, and other days it takes significantly longer.</t>
  </si>
  <si>
    <t>A larger range (like 15 minutes) indicates higher variation in performance.</t>
  </si>
  <si>
    <t>It shows that the student’s speed depends on factors like puzzle difficulty, focus, or daily conditions.</t>
  </si>
  <si>
    <t>Answer5</t>
  </si>
  <si>
    <t>Answer6</t>
  </si>
  <si>
    <t>Weekly apple harvest weights (kg):</t>
  </si>
  <si>
    <t xml:space="preserve">The range is 22 kg. This variation helps the farmer plan packaging by preparing enough </t>
  </si>
  <si>
    <t>crates or bags to handle both low and high harvest weeks,</t>
  </si>
  <si>
    <t xml:space="preserve"> ensuring smooth storage and distribution.</t>
  </si>
  <si>
    <t>Answer7</t>
  </si>
  <si>
    <t>Company A is more consistent because it has a lower variance, meaning its delivery delays are more stable and predictable compared to Company B</t>
  </si>
  <si>
    <t>Company A variance: 6</t>
  </si>
  <si>
    <t>Company B variance: 15</t>
  </si>
  <si>
    <t>Company A is more consistent.</t>
  </si>
  <si>
    <t xml:space="preserve"> Why?</t>
  </si>
  <si>
    <t>Answer8</t>
  </si>
  <si>
    <t>Coin A: standard deviation = $30</t>
  </si>
  <si>
    <t>Coin B: standard deviation = $120</t>
  </si>
  <si>
    <t>Which Coin Is Riskier?</t>
  </si>
  <si>
    <t>Coin B is riskier.</t>
  </si>
  <si>
    <t>Why?</t>
  </si>
  <si>
    <t>Standard deviation measures how much the price fluctuates around its average.</t>
  </si>
  <si>
    <t>A higher standard deviation means greater volatility — the price moves up and down more dramatically.</t>
  </si>
  <si>
    <t>Coin B’s standard deviation ($120) is four times larger than Coin A’s ($30).</t>
  </si>
  <si>
    <t>This means Coin B’s price is far less predictable, making it a riskier investment.</t>
  </si>
  <si>
    <t>Answer9</t>
  </si>
  <si>
    <t>Mean and Standard Deviation of Electricity Usage</t>
  </si>
  <si>
    <t xml:space="preserve"> Mean = 414 kWh</t>
  </si>
  <si>
    <t xml:space="preserve"> Dataset</t>
  </si>
  <si>
    <t>SD</t>
  </si>
  <si>
    <t>Mean</t>
  </si>
  <si>
    <t>Standard Deviation ≈ 20.59 kWh</t>
  </si>
  <si>
    <t>Together, the mean and standard deviation describe the family’s energy‑use pattern:</t>
  </si>
  <si>
    <t>1. Average usage is stable</t>
  </si>
  <si>
    <t>The family typically uses around 414 kWh per month, which represents their normal consumption level.</t>
  </si>
  <si>
    <t>2. Variability is low</t>
  </si>
  <si>
    <t>A standard deviation of ≈ 20.59 kWh is small compared to the mean.</t>
  </si>
  <si>
    <t>This means:</t>
  </si>
  <si>
    <t>Their electricity usage does not fluctuate much from month to month.</t>
  </si>
  <si>
    <t>Consumption is consistent and predictable.</t>
  </si>
  <si>
    <t>There are no extreme spikes or drops in usage.</t>
  </si>
  <si>
    <t>Answer10</t>
  </si>
  <si>
    <t>Dataset</t>
  </si>
  <si>
    <t>Median</t>
  </si>
  <si>
    <t>Mode</t>
  </si>
  <si>
    <t>Standard deviation</t>
  </si>
  <si>
    <t>All values occur once → No mode</t>
  </si>
  <si>
    <t>Range</t>
  </si>
  <si>
    <t xml:space="preserve"> Consistent scoring</t>
  </si>
  <si>
    <t>A standard deviation of ≈ 2.91 is small compared to the mean (≈19.63).</t>
  </si>
  <si>
    <t>This means the player scores fairly consistently across games.</t>
  </si>
  <si>
    <t xml:space="preserve"> No extreme highs or lows</t>
  </si>
  <si>
    <t>The range is only 10 points, showing the player stays within a predictable scoring band.</t>
  </si>
  <si>
    <t xml:space="preserve"> Solid mid‑range performance</t>
  </si>
  <si>
    <t>Both mean (19.63) and median (19.5) are close, indicating a balanced distribution without outliers.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</si>
</sst>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5" tint="-0.249977111117893"/>
      <name val="Aptos Narrow"/>
      <family val="2"/>
      <scheme val="minor"/>
    </font>
    <font>
      <b/>
      <sz val="12"/>
      <color rgb="FF50100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7F3F00"/>
      <name val="Aptos Narrow"/>
      <family val="2"/>
      <scheme val="minor"/>
    </font>
    <font>
      <b/>
      <sz val="11"/>
      <color rgb="FFA6650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b/>
      <sz val="11"/>
      <color rgb="FF520000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b/>
      <sz val="11"/>
      <color rgb="FFED0000"/>
      <name val="Aptos Narrow"/>
      <family val="2"/>
      <scheme val="minor"/>
    </font>
    <font>
      <b/>
      <sz val="11"/>
      <color rgb="FFCF0000"/>
      <name val="Aptos Narrow"/>
      <family val="2"/>
      <scheme val="minor"/>
    </font>
    <font>
      <sz val="11"/>
      <color rgb="FFCF0000"/>
      <name val="Aptos Narrow"/>
      <family val="2"/>
      <scheme val="minor"/>
    </font>
    <font>
      <b/>
      <sz val="12"/>
      <color rgb="FF652193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C5D3FF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Font="1"/>
    <xf numFmtId="0" fontId="5" fillId="2" borderId="0" xfId="0" applyFont="1" applyFill="1"/>
    <xf numFmtId="0" fontId="0" fillId="2" borderId="0" xfId="0" applyFill="1"/>
    <xf numFmtId="0" fontId="2" fillId="3" borderId="0" xfId="0" applyFont="1" applyFill="1"/>
    <xf numFmtId="0" fontId="0" fillId="3" borderId="0" xfId="0" applyFill="1"/>
    <xf numFmtId="0" fontId="6" fillId="0" borderId="0" xfId="0" applyFont="1"/>
    <xf numFmtId="0" fontId="8" fillId="0" borderId="0" xfId="0" applyFont="1"/>
    <xf numFmtId="0" fontId="0" fillId="4" borderId="0" xfId="0" applyFill="1"/>
    <xf numFmtId="0" fontId="2" fillId="4" borderId="0" xfId="0" applyFont="1" applyFill="1"/>
    <xf numFmtId="0" fontId="0" fillId="5" borderId="0" xfId="0" applyFill="1"/>
    <xf numFmtId="0" fontId="11" fillId="0" borderId="0" xfId="0" applyFont="1"/>
    <xf numFmtId="0" fontId="2" fillId="6" borderId="0" xfId="0" applyFont="1" applyFill="1"/>
    <xf numFmtId="0" fontId="0" fillId="6" borderId="0" xfId="0" applyFill="1"/>
    <xf numFmtId="0" fontId="12" fillId="0" borderId="0" xfId="0" applyFont="1"/>
    <xf numFmtId="0" fontId="0" fillId="8" borderId="0" xfId="0" applyFill="1"/>
    <xf numFmtId="0" fontId="7" fillId="0" borderId="0" xfId="0" applyFont="1"/>
    <xf numFmtId="0" fontId="2" fillId="9" borderId="0" xfId="0" applyFont="1" applyFill="1"/>
    <xf numFmtId="0" fontId="0" fillId="9" borderId="0" xfId="0" applyFill="1"/>
    <xf numFmtId="0" fontId="2" fillId="10" borderId="0" xfId="0" applyFont="1" applyFill="1"/>
    <xf numFmtId="0" fontId="0" fillId="10" borderId="0" xfId="0" applyFill="1"/>
    <xf numFmtId="0" fontId="1" fillId="0" borderId="0" xfId="0" applyFont="1" applyAlignment="1">
      <alignment horizontal="center"/>
    </xf>
    <xf numFmtId="0" fontId="13" fillId="3" borderId="0" xfId="0" applyFont="1" applyFill="1" applyAlignment="1">
      <alignment horizontal="center"/>
    </xf>
    <xf numFmtId="2" fontId="14" fillId="7" borderId="0" xfId="0" applyNumberFormat="1" applyFont="1" applyFill="1" applyAlignment="1">
      <alignment horizontal="center"/>
    </xf>
    <xf numFmtId="0" fontId="14" fillId="7" borderId="0" xfId="0" applyFont="1" applyFill="1" applyAlignment="1">
      <alignment horizontal="center"/>
    </xf>
    <xf numFmtId="0" fontId="15" fillId="0" borderId="0" xfId="0" applyFont="1"/>
    <xf numFmtId="0" fontId="16" fillId="0" borderId="0" xfId="0" applyFont="1"/>
    <xf numFmtId="0" fontId="2" fillId="11" borderId="0" xfId="0" applyFont="1" applyFill="1"/>
    <xf numFmtId="0" fontId="0" fillId="11" borderId="0" xfId="0" applyFill="1"/>
    <xf numFmtId="0" fontId="1" fillId="11" borderId="0" xfId="0" applyFont="1" applyFill="1"/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2" fontId="0" fillId="4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0" fontId="18" fillId="4" borderId="1" xfId="0" applyFont="1" applyFill="1" applyBorder="1" applyAlignment="1">
      <alignment horizontal="center"/>
    </xf>
    <xf numFmtId="0" fontId="17" fillId="4" borderId="1" xfId="0" applyFont="1" applyFill="1" applyBorder="1"/>
    <xf numFmtId="0" fontId="18" fillId="4" borderId="1" xfId="0" applyFont="1" applyFill="1" applyBorder="1"/>
    <xf numFmtId="0" fontId="2" fillId="12" borderId="0" xfId="0" applyFont="1" applyFill="1"/>
    <xf numFmtId="0" fontId="0" fillId="12" borderId="0" xfId="0" applyFill="1"/>
    <xf numFmtId="0" fontId="6" fillId="0" borderId="0" xfId="0" applyFont="1" applyAlignment="1">
      <alignment horizontal="center"/>
    </xf>
    <xf numFmtId="0" fontId="6" fillId="13" borderId="0" xfId="0" applyFont="1" applyFill="1"/>
    <xf numFmtId="0" fontId="0" fillId="13" borderId="0" xfId="0" applyFill="1"/>
    <xf numFmtId="0" fontId="6" fillId="13" borderId="1" xfId="0" applyFont="1" applyFill="1" applyBorder="1" applyAlignment="1">
      <alignment horizontal="center"/>
    </xf>
    <xf numFmtId="0" fontId="0" fillId="13" borderId="1" xfId="0" applyFill="1" applyBorder="1"/>
    <xf numFmtId="0" fontId="12" fillId="13" borderId="1" xfId="0" applyFont="1" applyFill="1" applyBorder="1"/>
    <xf numFmtId="0" fontId="1" fillId="11" borderId="1" xfId="0" applyFont="1" applyFill="1" applyBorder="1"/>
    <xf numFmtId="0" fontId="1" fillId="11" borderId="1" xfId="0" applyFont="1" applyFill="1" applyBorder="1" applyAlignment="1">
      <alignment horizontal="center"/>
    </xf>
    <xf numFmtId="0" fontId="6" fillId="0" borderId="1" xfId="0" applyFont="1" applyBorder="1"/>
    <xf numFmtId="0" fontId="1" fillId="0" borderId="1" xfId="0" applyFont="1" applyBorder="1"/>
    <xf numFmtId="0" fontId="9" fillId="0" borderId="1" xfId="0" applyFont="1" applyBorder="1"/>
    <xf numFmtId="0" fontId="10" fillId="14" borderId="1" xfId="0" applyFont="1" applyFill="1" applyBorder="1" applyAlignment="1">
      <alignment horizontal="center"/>
    </xf>
    <xf numFmtId="0" fontId="0" fillId="14" borderId="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1" fillId="15" borderId="0" xfId="0" applyFont="1" applyFill="1" applyAlignment="1">
      <alignment horizontal="center"/>
    </xf>
    <xf numFmtId="2" fontId="1" fillId="15" borderId="0" xfId="0" applyNumberFormat="1" applyFont="1" applyFill="1" applyAlignment="1">
      <alignment horizontal="center"/>
    </xf>
    <xf numFmtId="2" fontId="3" fillId="0" borderId="1" xfId="0" applyNumberFormat="1" applyFont="1" applyBorder="1"/>
    <xf numFmtId="0" fontId="3" fillId="0" borderId="1" xfId="0" applyFont="1" applyBorder="1"/>
    <xf numFmtId="0" fontId="0" fillId="14" borderId="1" xfId="0" applyFill="1" applyBorder="1"/>
    <xf numFmtId="0" fontId="19" fillId="1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1CF7B-5229-4A67-A5C0-2C4B06E20493}">
  <dimension ref="A1:O161"/>
  <sheetViews>
    <sheetView tabSelected="1" topLeftCell="A138" workbookViewId="0">
      <selection activeCell="G40" sqref="G40"/>
    </sheetView>
  </sheetViews>
  <sheetFormatPr defaultRowHeight="14.4" x14ac:dyDescent="0.3"/>
  <cols>
    <col min="4" max="4" width="15.88671875" bestFit="1" customWidth="1"/>
    <col min="7" max="7" width="9.5546875" bestFit="1" customWidth="1"/>
  </cols>
  <sheetData>
    <row r="1" spans="1:9" x14ac:dyDescent="0.3">
      <c r="A1" s="1" t="s">
        <v>0</v>
      </c>
      <c r="B1" s="9" t="s">
        <v>1</v>
      </c>
      <c r="C1" s="9"/>
    </row>
    <row r="2" spans="1:9" x14ac:dyDescent="0.3">
      <c r="B2" s="53">
        <v>10</v>
      </c>
      <c r="C2" s="52"/>
      <c r="D2" s="52"/>
    </row>
    <row r="3" spans="1:9" x14ac:dyDescent="0.3">
      <c r="B3" s="53">
        <v>12</v>
      </c>
      <c r="C3" s="60">
        <f>AVERAGE(B2:B8)</f>
        <v>12.428571428571429</v>
      </c>
      <c r="D3" s="61" t="s">
        <v>66</v>
      </c>
    </row>
    <row r="4" spans="1:9" x14ac:dyDescent="0.3">
      <c r="B4" s="53">
        <v>11</v>
      </c>
      <c r="C4" s="61">
        <f>MEDIAN(B2:B8)</f>
        <v>12</v>
      </c>
      <c r="D4" s="61" t="s">
        <v>79</v>
      </c>
    </row>
    <row r="5" spans="1:9" x14ac:dyDescent="0.3">
      <c r="B5" s="53">
        <v>15</v>
      </c>
      <c r="C5" s="61">
        <f>MODE(B2:B8)</f>
        <v>12</v>
      </c>
      <c r="D5" s="61" t="s">
        <v>80</v>
      </c>
    </row>
    <row r="6" spans="1:9" x14ac:dyDescent="0.3">
      <c r="B6" s="53">
        <v>14</v>
      </c>
      <c r="C6" s="53"/>
      <c r="D6" s="53"/>
    </row>
    <row r="7" spans="1:9" x14ac:dyDescent="0.3">
      <c r="B7" s="53">
        <v>13</v>
      </c>
      <c r="C7" s="52"/>
      <c r="D7" s="52"/>
    </row>
    <row r="8" spans="1:9" x14ac:dyDescent="0.3">
      <c r="B8" s="53">
        <v>12</v>
      </c>
      <c r="C8" s="53"/>
      <c r="D8" s="35"/>
    </row>
    <row r="9" spans="1:9" x14ac:dyDescent="0.3">
      <c r="B9" s="2" t="s">
        <v>2</v>
      </c>
      <c r="C9" s="2"/>
      <c r="D9" s="2"/>
      <c r="E9" s="2"/>
      <c r="F9" s="2"/>
    </row>
    <row r="11" spans="1:9" ht="15.6" x14ac:dyDescent="0.3">
      <c r="B11" s="7" t="s">
        <v>3</v>
      </c>
      <c r="C11" s="7"/>
      <c r="D11" s="7"/>
      <c r="E11" s="8"/>
      <c r="F11" s="8"/>
      <c r="G11" s="8"/>
      <c r="H11" s="8"/>
      <c r="I11" s="8"/>
    </row>
    <row r="12" spans="1:9" x14ac:dyDescent="0.3">
      <c r="B12" s="8" t="s">
        <v>4</v>
      </c>
      <c r="C12" s="8"/>
      <c r="D12" s="8"/>
      <c r="E12" s="8"/>
      <c r="F12" s="8"/>
      <c r="G12" s="8"/>
      <c r="H12" s="8"/>
      <c r="I12" s="8"/>
    </row>
    <row r="13" spans="1:9" x14ac:dyDescent="0.3">
      <c r="B13" s="8" t="s">
        <v>5</v>
      </c>
      <c r="C13" s="8"/>
      <c r="D13" s="8"/>
      <c r="E13" s="8"/>
      <c r="F13" s="8"/>
      <c r="G13" s="8"/>
      <c r="H13" s="8"/>
      <c r="I13" s="8"/>
    </row>
    <row r="14" spans="1:9" x14ac:dyDescent="0.3">
      <c r="B14" s="8" t="s">
        <v>6</v>
      </c>
      <c r="C14" s="8"/>
      <c r="D14" s="8"/>
      <c r="E14" s="8"/>
      <c r="F14" s="8"/>
      <c r="G14" s="8"/>
      <c r="H14" s="8"/>
      <c r="I14" s="8"/>
    </row>
    <row r="16" spans="1:9" x14ac:dyDescent="0.3">
      <c r="A16" s="1" t="s">
        <v>7</v>
      </c>
      <c r="B16" s="9" t="s">
        <v>8</v>
      </c>
      <c r="C16" s="9"/>
    </row>
    <row r="17" spans="1:10" x14ac:dyDescent="0.3">
      <c r="B17" s="24">
        <v>12</v>
      </c>
      <c r="C17" s="44"/>
      <c r="D17" s="44"/>
      <c r="E17" s="9"/>
      <c r="F17" s="9"/>
      <c r="G17" s="9"/>
    </row>
    <row r="18" spans="1:10" x14ac:dyDescent="0.3">
      <c r="B18" s="24">
        <v>15</v>
      </c>
      <c r="C18" s="44"/>
      <c r="D18" s="44"/>
      <c r="E18" s="9"/>
      <c r="F18" s="9"/>
      <c r="G18" s="9"/>
    </row>
    <row r="19" spans="1:10" x14ac:dyDescent="0.3">
      <c r="B19" s="24">
        <v>14</v>
      </c>
      <c r="C19" s="58" t="s">
        <v>66</v>
      </c>
      <c r="D19" s="59">
        <f>AVERAGE(B17:C23)</f>
        <v>16.285714285714285</v>
      </c>
    </row>
    <row r="20" spans="1:10" x14ac:dyDescent="0.3">
      <c r="B20" s="24">
        <v>16</v>
      </c>
      <c r="C20" s="24"/>
      <c r="D20" s="24"/>
    </row>
    <row r="21" spans="1:10" x14ac:dyDescent="0.3">
      <c r="B21" s="24">
        <v>18</v>
      </c>
      <c r="C21" s="24"/>
      <c r="D21" s="24"/>
    </row>
    <row r="22" spans="1:10" x14ac:dyDescent="0.3">
      <c r="B22" s="24">
        <v>20</v>
      </c>
      <c r="C22" s="57"/>
      <c r="D22" s="24"/>
      <c r="E22" s="3"/>
      <c r="F22" s="3"/>
    </row>
    <row r="23" spans="1:10" x14ac:dyDescent="0.3">
      <c r="B23" s="24">
        <v>19</v>
      </c>
      <c r="C23" s="24"/>
      <c r="D23" s="24"/>
    </row>
    <row r="24" spans="1:10" ht="15.6" x14ac:dyDescent="0.3">
      <c r="B24" s="5" t="s">
        <v>9</v>
      </c>
      <c r="C24" s="5"/>
      <c r="D24" s="5"/>
      <c r="E24" s="5"/>
      <c r="F24" s="5"/>
      <c r="G24" s="6"/>
      <c r="H24" s="6"/>
      <c r="I24" s="6"/>
      <c r="J24" s="6"/>
    </row>
    <row r="25" spans="1:10" x14ac:dyDescent="0.3">
      <c r="B25" s="6" t="s">
        <v>10</v>
      </c>
      <c r="C25" s="6"/>
      <c r="D25" s="6"/>
      <c r="E25" s="6"/>
      <c r="F25" s="6"/>
      <c r="G25" s="6"/>
      <c r="H25" s="6"/>
      <c r="I25" s="6"/>
      <c r="J25" s="6"/>
    </row>
    <row r="26" spans="1:10" x14ac:dyDescent="0.3">
      <c r="B26" s="6"/>
      <c r="C26" s="6"/>
      <c r="D26" s="6"/>
      <c r="E26" s="6"/>
      <c r="F26" s="6"/>
      <c r="G26" s="6"/>
      <c r="H26" s="6"/>
      <c r="I26" s="6"/>
      <c r="J26" s="6"/>
    </row>
    <row r="27" spans="1:10" x14ac:dyDescent="0.3">
      <c r="B27" s="6" t="s">
        <v>11</v>
      </c>
      <c r="C27" s="6"/>
      <c r="D27" s="6"/>
      <c r="E27" s="6"/>
      <c r="F27" s="6"/>
      <c r="G27" s="6"/>
      <c r="H27" s="6"/>
      <c r="I27" s="6"/>
      <c r="J27" s="6"/>
    </row>
    <row r="28" spans="1:10" x14ac:dyDescent="0.3">
      <c r="B28" s="6"/>
      <c r="C28" s="6"/>
      <c r="D28" s="6"/>
      <c r="E28" s="6"/>
      <c r="F28" s="6"/>
      <c r="G28" s="6"/>
      <c r="H28" s="6"/>
      <c r="I28" s="6"/>
      <c r="J28" s="6"/>
    </row>
    <row r="29" spans="1:10" x14ac:dyDescent="0.3">
      <c r="B29" s="6" t="s">
        <v>12</v>
      </c>
      <c r="C29" s="6"/>
      <c r="D29" s="6"/>
      <c r="E29" s="6"/>
      <c r="F29" s="6"/>
      <c r="G29" s="6"/>
      <c r="H29" s="6"/>
      <c r="I29" s="6"/>
      <c r="J29" s="6"/>
    </row>
    <row r="31" spans="1:10" x14ac:dyDescent="0.3">
      <c r="A31" s="1" t="s">
        <v>13</v>
      </c>
    </row>
    <row r="32" spans="1:10" x14ac:dyDescent="0.3">
      <c r="A32" s="62"/>
      <c r="B32" s="55" t="s">
        <v>14</v>
      </c>
      <c r="C32" s="55"/>
      <c r="D32" s="56"/>
      <c r="E32" s="56"/>
      <c r="F32" s="56"/>
      <c r="G32" s="56"/>
      <c r="H32" s="56"/>
      <c r="I32" s="56"/>
    </row>
    <row r="33" spans="1:9" x14ac:dyDescent="0.3">
      <c r="A33" s="62"/>
      <c r="B33" s="55">
        <v>7</v>
      </c>
      <c r="C33" s="56">
        <v>8</v>
      </c>
      <c r="D33" s="56">
        <v>9</v>
      </c>
      <c r="E33" s="56">
        <v>8</v>
      </c>
      <c r="F33" s="56">
        <v>8</v>
      </c>
      <c r="G33" s="56">
        <v>10</v>
      </c>
      <c r="H33" s="56">
        <v>7</v>
      </c>
      <c r="I33" s="56">
        <v>9</v>
      </c>
    </row>
    <row r="34" spans="1:9" ht="15.6" x14ac:dyDescent="0.3">
      <c r="A34" s="62"/>
      <c r="B34" s="56"/>
      <c r="C34" s="63" t="s">
        <v>80</v>
      </c>
      <c r="D34" s="63">
        <f>MODE(B33:I33)</f>
        <v>8</v>
      </c>
      <c r="E34" s="56"/>
      <c r="F34" s="56"/>
      <c r="G34" s="56"/>
      <c r="H34" s="56"/>
      <c r="I34" s="56"/>
    </row>
    <row r="35" spans="1:9" x14ac:dyDescent="0.3">
      <c r="B35" t="s">
        <v>15</v>
      </c>
    </row>
    <row r="36" spans="1:9" x14ac:dyDescent="0.3">
      <c r="B36" s="4" t="s">
        <v>16</v>
      </c>
      <c r="C36" s="4"/>
    </row>
    <row r="37" spans="1:9" x14ac:dyDescent="0.3">
      <c r="B37" s="1" t="s">
        <v>17</v>
      </c>
      <c r="C37" s="1"/>
    </row>
    <row r="38" spans="1:9" x14ac:dyDescent="0.3">
      <c r="B38" t="s">
        <v>18</v>
      </c>
    </row>
    <row r="39" spans="1:9" x14ac:dyDescent="0.3">
      <c r="B39" t="s">
        <v>19</v>
      </c>
    </row>
    <row r="40" spans="1:9" x14ac:dyDescent="0.3">
      <c r="B40" s="10"/>
    </row>
    <row r="42" spans="1:9" ht="15.6" x14ac:dyDescent="0.3">
      <c r="B42" s="12" t="s">
        <v>20</v>
      </c>
      <c r="C42" s="12"/>
      <c r="D42" s="12"/>
      <c r="E42" s="12"/>
      <c r="F42" s="11"/>
    </row>
    <row r="43" spans="1:9" x14ac:dyDescent="0.3">
      <c r="B43" s="11" t="s">
        <v>21</v>
      </c>
      <c r="C43" s="11"/>
      <c r="D43" s="11"/>
      <c r="E43" s="11"/>
      <c r="F43" s="11"/>
      <c r="G43" s="11"/>
    </row>
    <row r="44" spans="1:9" x14ac:dyDescent="0.3">
      <c r="B44" s="11"/>
      <c r="C44" s="11"/>
      <c r="D44" s="11"/>
      <c r="E44" s="11"/>
      <c r="F44" s="11"/>
      <c r="G44" s="11"/>
    </row>
    <row r="45" spans="1:9" x14ac:dyDescent="0.3">
      <c r="B45" s="11" t="s">
        <v>22</v>
      </c>
      <c r="C45" s="11"/>
      <c r="D45" s="11"/>
      <c r="E45" s="11"/>
      <c r="F45" s="11"/>
      <c r="G45" s="11"/>
    </row>
    <row r="46" spans="1:9" x14ac:dyDescent="0.3">
      <c r="B46" s="11"/>
      <c r="C46" s="11"/>
      <c r="D46" s="11"/>
      <c r="E46" s="11"/>
      <c r="F46" s="11"/>
      <c r="G46" s="11"/>
    </row>
    <row r="47" spans="1:9" x14ac:dyDescent="0.3">
      <c r="B47" s="11" t="s">
        <v>23</v>
      </c>
      <c r="C47" s="11"/>
      <c r="D47" s="11"/>
      <c r="E47" s="11"/>
      <c r="F47" s="11"/>
      <c r="G47" s="11"/>
    </row>
    <row r="48" spans="1:9" x14ac:dyDescent="0.3">
      <c r="B48" s="11"/>
      <c r="C48" s="11"/>
      <c r="D48" s="11"/>
      <c r="E48" s="11"/>
      <c r="F48" s="11"/>
      <c r="G48" s="11"/>
    </row>
    <row r="49" spans="1:13" x14ac:dyDescent="0.3">
      <c r="B49" s="11" t="s">
        <v>24</v>
      </c>
      <c r="C49" s="11"/>
      <c r="D49" s="11"/>
      <c r="E49" s="11"/>
      <c r="F49" s="11"/>
      <c r="G49" s="11"/>
    </row>
    <row r="50" spans="1:13" x14ac:dyDescent="0.3">
      <c r="B50" s="11"/>
      <c r="C50" s="11"/>
      <c r="D50" s="11"/>
      <c r="E50" s="11"/>
      <c r="F50" s="11"/>
      <c r="G50" s="11"/>
    </row>
    <row r="51" spans="1:13" x14ac:dyDescent="0.3">
      <c r="B51" s="11" t="s">
        <v>25</v>
      </c>
      <c r="C51" s="11"/>
      <c r="D51" s="11"/>
      <c r="E51" s="11"/>
      <c r="F51" s="11"/>
      <c r="G51" s="11"/>
    </row>
    <row r="53" spans="1:13" x14ac:dyDescent="0.3">
      <c r="A53" s="1" t="s">
        <v>26</v>
      </c>
    </row>
    <row r="54" spans="1:13" x14ac:dyDescent="0.3">
      <c r="B54" s="52" t="s">
        <v>27</v>
      </c>
      <c r="C54" s="52"/>
      <c r="D54" s="52"/>
      <c r="E54" s="52"/>
      <c r="F54" s="35"/>
    </row>
    <row r="55" spans="1:13" x14ac:dyDescent="0.3">
      <c r="B55" s="52" t="s">
        <v>28</v>
      </c>
      <c r="C55" s="52"/>
      <c r="D55" s="52"/>
      <c r="E55" s="52"/>
      <c r="F55" s="52"/>
      <c r="G55" s="9"/>
    </row>
    <row r="56" spans="1:13" x14ac:dyDescent="0.3">
      <c r="B56" s="53">
        <v>8000</v>
      </c>
      <c r="C56" s="53">
        <v>9500</v>
      </c>
      <c r="D56" s="53">
        <v>10200</v>
      </c>
      <c r="E56" s="53">
        <v>11000</v>
      </c>
      <c r="F56" s="53">
        <v>50000</v>
      </c>
    </row>
    <row r="57" spans="1:13" x14ac:dyDescent="0.3">
      <c r="B57" s="54" t="s">
        <v>79</v>
      </c>
      <c r="C57" s="54">
        <f>MEDIAN(B56:F56)</f>
        <v>10200</v>
      </c>
      <c r="D57" s="35"/>
      <c r="E57" s="35"/>
      <c r="F57" s="35"/>
    </row>
    <row r="58" spans="1:13" x14ac:dyDescent="0.3">
      <c r="B58" s="1" t="s">
        <v>29</v>
      </c>
      <c r="C58" s="1"/>
      <c r="D58" s="1"/>
      <c r="E58" s="1"/>
      <c r="F58" s="1"/>
    </row>
    <row r="59" spans="1:13" x14ac:dyDescent="0.3">
      <c r="B59" s="13" t="s">
        <v>30</v>
      </c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</row>
    <row r="60" spans="1:13" x14ac:dyDescent="0.3"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</row>
    <row r="61" spans="1:13" x14ac:dyDescent="0.3">
      <c r="B61" s="13" t="s">
        <v>31</v>
      </c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</row>
    <row r="62" spans="1:13" x14ac:dyDescent="0.3"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</row>
    <row r="63" spans="1:13" x14ac:dyDescent="0.3">
      <c r="B63" s="13" t="s">
        <v>32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</row>
    <row r="65" spans="1:13" x14ac:dyDescent="0.3">
      <c r="A65" s="1" t="s">
        <v>39</v>
      </c>
    </row>
    <row r="66" spans="1:13" x14ac:dyDescent="0.3">
      <c r="B66" s="50" t="s">
        <v>33</v>
      </c>
      <c r="C66" s="50"/>
      <c r="D66" s="50"/>
      <c r="E66" s="50"/>
      <c r="F66" s="50"/>
    </row>
    <row r="67" spans="1:13" x14ac:dyDescent="0.3">
      <c r="B67" s="51">
        <v>25</v>
      </c>
      <c r="C67" s="51">
        <v>30</v>
      </c>
      <c r="D67" s="51">
        <v>27</v>
      </c>
      <c r="E67" s="51">
        <v>35</v>
      </c>
      <c r="F67" s="51">
        <v>40</v>
      </c>
    </row>
    <row r="68" spans="1:13" x14ac:dyDescent="0.3">
      <c r="B68" s="50" t="s">
        <v>83</v>
      </c>
      <c r="C68" s="50">
        <f>MAX(F67)-MIN(B67)</f>
        <v>15</v>
      </c>
      <c r="D68" s="50"/>
      <c r="E68" s="50"/>
      <c r="F68" s="50"/>
    </row>
    <row r="69" spans="1:13" x14ac:dyDescent="0.3">
      <c r="B69" s="14"/>
      <c r="C69" s="14"/>
    </row>
    <row r="70" spans="1:13" x14ac:dyDescent="0.3">
      <c r="B70" s="14"/>
      <c r="C70" s="14"/>
    </row>
    <row r="71" spans="1:13" ht="15.6" x14ac:dyDescent="0.3">
      <c r="B71" s="15" t="s">
        <v>34</v>
      </c>
      <c r="C71" s="15"/>
      <c r="D71" s="15"/>
      <c r="E71" s="16"/>
      <c r="F71" s="16"/>
      <c r="G71" s="16"/>
      <c r="H71" s="16"/>
      <c r="I71" s="16"/>
      <c r="J71" s="16"/>
      <c r="K71" s="16"/>
      <c r="L71" s="16"/>
      <c r="M71" s="16"/>
    </row>
    <row r="72" spans="1:13" x14ac:dyDescent="0.3">
      <c r="B72" s="16" t="s">
        <v>35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1:13" x14ac:dyDescent="0.3"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</row>
    <row r="74" spans="1:13" x14ac:dyDescent="0.3">
      <c r="B74" s="16" t="s">
        <v>36</v>
      </c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</row>
    <row r="75" spans="1:13" x14ac:dyDescent="0.3"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x14ac:dyDescent="0.3">
      <c r="B76" s="16" t="s">
        <v>37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</row>
    <row r="77" spans="1:13" x14ac:dyDescent="0.3"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</row>
    <row r="78" spans="1:13" x14ac:dyDescent="0.3">
      <c r="B78" s="16" t="s">
        <v>38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</row>
    <row r="80" spans="1:13" x14ac:dyDescent="0.3">
      <c r="A80" s="1" t="s">
        <v>40</v>
      </c>
    </row>
    <row r="81" spans="1:9" x14ac:dyDescent="0.3">
      <c r="B81" s="45" t="s">
        <v>41</v>
      </c>
      <c r="C81" s="45"/>
      <c r="D81" s="45"/>
      <c r="E81" s="46"/>
      <c r="F81" s="46"/>
    </row>
    <row r="82" spans="1:9" x14ac:dyDescent="0.3">
      <c r="B82" s="47">
        <v>100</v>
      </c>
      <c r="C82" s="47">
        <v>105</v>
      </c>
      <c r="D82" s="47">
        <v>98</v>
      </c>
      <c r="E82" s="47">
        <v>110</v>
      </c>
      <c r="F82" s="47">
        <v>120</v>
      </c>
    </row>
    <row r="83" spans="1:9" x14ac:dyDescent="0.3">
      <c r="B83" s="48"/>
      <c r="C83" s="48"/>
      <c r="D83" s="48"/>
      <c r="E83" s="48"/>
      <c r="F83" s="48"/>
    </row>
    <row r="84" spans="1:9" x14ac:dyDescent="0.3">
      <c r="B84" s="49">
        <f>MAX(F82)-MIN(D82)</f>
        <v>22</v>
      </c>
      <c r="C84" s="49" t="s">
        <v>83</v>
      </c>
      <c r="D84" s="49"/>
      <c r="E84" s="49"/>
      <c r="F84" s="48"/>
    </row>
    <row r="85" spans="1:9" x14ac:dyDescent="0.3">
      <c r="B85" s="17"/>
      <c r="C85" s="17"/>
      <c r="D85" s="17"/>
      <c r="E85" s="17"/>
    </row>
    <row r="87" spans="1:9" x14ac:dyDescent="0.3">
      <c r="B87" s="18" t="s">
        <v>42</v>
      </c>
      <c r="C87" s="18"/>
      <c r="D87" s="18"/>
      <c r="E87" s="18"/>
      <c r="F87" s="18"/>
      <c r="G87" s="18"/>
      <c r="H87" s="18"/>
      <c r="I87" s="18"/>
    </row>
    <row r="88" spans="1:9" x14ac:dyDescent="0.3">
      <c r="B88" s="18" t="s">
        <v>43</v>
      </c>
      <c r="C88" s="18"/>
      <c r="D88" s="18"/>
      <c r="E88" s="18"/>
      <c r="F88" s="18"/>
      <c r="G88" s="18"/>
      <c r="H88" s="18"/>
      <c r="I88" s="18"/>
    </row>
    <row r="89" spans="1:9" x14ac:dyDescent="0.3">
      <c r="B89" s="18" t="s">
        <v>44</v>
      </c>
      <c r="C89" s="18"/>
      <c r="D89" s="18"/>
      <c r="E89" s="18"/>
      <c r="F89" s="18"/>
      <c r="G89" s="18"/>
      <c r="H89" s="18"/>
      <c r="I89" s="18"/>
    </row>
    <row r="91" spans="1:9" x14ac:dyDescent="0.3">
      <c r="A91" s="1" t="s">
        <v>45</v>
      </c>
    </row>
    <row r="92" spans="1:9" x14ac:dyDescent="0.3">
      <c r="B92" s="9" t="s">
        <v>47</v>
      </c>
      <c r="C92" s="9"/>
      <c r="D92" s="9"/>
    </row>
    <row r="93" spans="1:9" x14ac:dyDescent="0.3">
      <c r="B93" s="9" t="s">
        <v>48</v>
      </c>
      <c r="C93" s="9"/>
      <c r="D93" s="9"/>
    </row>
    <row r="95" spans="1:9" x14ac:dyDescent="0.3">
      <c r="B95" s="19" t="s">
        <v>49</v>
      </c>
      <c r="C95" s="19"/>
      <c r="D95" s="19"/>
    </row>
    <row r="97" spans="1:15" ht="15.6" x14ac:dyDescent="0.3">
      <c r="B97" s="20" t="s">
        <v>50</v>
      </c>
      <c r="C97" s="21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spans="1:15" x14ac:dyDescent="0.3">
      <c r="B98" s="21" t="s">
        <v>46</v>
      </c>
      <c r="C98" s="21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pans="1:15" x14ac:dyDescent="0.3">
      <c r="B99" s="21"/>
      <c r="C99" s="21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1" spans="1:15" x14ac:dyDescent="0.3">
      <c r="A101" s="1" t="s">
        <v>51</v>
      </c>
    </row>
    <row r="102" spans="1:15" x14ac:dyDescent="0.3">
      <c r="B102" s="9" t="s">
        <v>52</v>
      </c>
      <c r="C102" s="9"/>
      <c r="D102" s="9"/>
    </row>
    <row r="103" spans="1:15" x14ac:dyDescent="0.3">
      <c r="B103" s="9" t="s">
        <v>53</v>
      </c>
      <c r="C103" s="9"/>
      <c r="D103" s="9"/>
    </row>
    <row r="105" spans="1:15" x14ac:dyDescent="0.3">
      <c r="B105" s="14" t="s">
        <v>54</v>
      </c>
      <c r="C105" s="14"/>
    </row>
    <row r="106" spans="1:15" x14ac:dyDescent="0.3">
      <c r="B106" s="14" t="s">
        <v>55</v>
      </c>
      <c r="C106" s="14"/>
    </row>
    <row r="108" spans="1:15" ht="15.6" x14ac:dyDescent="0.3">
      <c r="B108" s="22" t="s">
        <v>56</v>
      </c>
      <c r="C108" s="23"/>
      <c r="D108" s="23"/>
      <c r="E108" s="23"/>
      <c r="F108" s="23"/>
      <c r="G108" s="23"/>
      <c r="H108" s="23"/>
      <c r="I108" s="23"/>
      <c r="J108" s="23"/>
      <c r="K108" s="23"/>
    </row>
    <row r="109" spans="1:15" x14ac:dyDescent="0.3">
      <c r="B109" s="23" t="s">
        <v>57</v>
      </c>
      <c r="C109" s="23"/>
      <c r="D109" s="23"/>
      <c r="E109" s="23"/>
      <c r="F109" s="23"/>
      <c r="G109" s="23"/>
      <c r="H109" s="23"/>
      <c r="I109" s="23"/>
      <c r="J109" s="23"/>
      <c r="K109" s="23"/>
    </row>
    <row r="110" spans="1:15" x14ac:dyDescent="0.3">
      <c r="B110" s="23"/>
      <c r="C110" s="23"/>
      <c r="D110" s="23"/>
      <c r="E110" s="23"/>
      <c r="F110" s="23"/>
      <c r="G110" s="23"/>
      <c r="H110" s="23"/>
      <c r="I110" s="23"/>
      <c r="J110" s="23"/>
      <c r="K110" s="23"/>
    </row>
    <row r="111" spans="1:15" x14ac:dyDescent="0.3">
      <c r="B111" s="23" t="s">
        <v>58</v>
      </c>
      <c r="C111" s="23"/>
      <c r="D111" s="23"/>
      <c r="E111" s="23"/>
      <c r="F111" s="23"/>
      <c r="G111" s="23"/>
      <c r="H111" s="23"/>
      <c r="I111" s="23"/>
      <c r="J111" s="23"/>
      <c r="K111" s="23"/>
    </row>
    <row r="112" spans="1:15" x14ac:dyDescent="0.3">
      <c r="B112" s="23"/>
      <c r="C112" s="23"/>
      <c r="D112" s="23"/>
      <c r="E112" s="23"/>
      <c r="F112" s="23"/>
      <c r="G112" s="23"/>
      <c r="H112" s="23"/>
      <c r="I112" s="23"/>
      <c r="J112" s="23"/>
      <c r="K112" s="23"/>
    </row>
    <row r="113" spans="1:11" x14ac:dyDescent="0.3">
      <c r="B113" s="23" t="s">
        <v>59</v>
      </c>
      <c r="C113" s="23"/>
      <c r="D113" s="23"/>
      <c r="E113" s="23"/>
      <c r="F113" s="23"/>
      <c r="G113" s="23"/>
      <c r="H113" s="23"/>
      <c r="I113" s="23"/>
      <c r="J113" s="23"/>
      <c r="K113" s="23"/>
    </row>
    <row r="114" spans="1:11" x14ac:dyDescent="0.3">
      <c r="B114" s="23"/>
      <c r="C114" s="23"/>
      <c r="D114" s="23"/>
      <c r="E114" s="23"/>
      <c r="F114" s="23"/>
      <c r="G114" s="23"/>
      <c r="H114" s="23"/>
      <c r="I114" s="23"/>
      <c r="J114" s="23"/>
      <c r="K114" s="23"/>
    </row>
    <row r="115" spans="1:11" x14ac:dyDescent="0.3">
      <c r="B115" s="23" t="s">
        <v>60</v>
      </c>
      <c r="C115" s="23"/>
      <c r="D115" s="23"/>
      <c r="E115" s="23"/>
      <c r="F115" s="23"/>
      <c r="G115" s="23"/>
      <c r="H115" s="23"/>
      <c r="I115" s="23"/>
      <c r="J115" s="23"/>
      <c r="K115" s="23"/>
    </row>
    <row r="117" spans="1:11" x14ac:dyDescent="0.3">
      <c r="A117" s="1" t="s">
        <v>61</v>
      </c>
    </row>
    <row r="118" spans="1:11" x14ac:dyDescent="0.3">
      <c r="B118" t="s">
        <v>62</v>
      </c>
    </row>
    <row r="119" spans="1:11" x14ac:dyDescent="0.3">
      <c r="B119" s="24" t="s">
        <v>64</v>
      </c>
      <c r="C119" s="24"/>
      <c r="D119" s="24"/>
      <c r="E119" s="24"/>
      <c r="F119" s="24"/>
      <c r="G119" s="24"/>
      <c r="H119" s="24"/>
    </row>
    <row r="120" spans="1:11" x14ac:dyDescent="0.3">
      <c r="B120" s="24">
        <v>400</v>
      </c>
      <c r="C120" s="24">
        <v>420</v>
      </c>
      <c r="D120" s="24">
        <v>390</v>
      </c>
      <c r="E120" s="24">
        <v>450</v>
      </c>
      <c r="F120" s="24">
        <v>410</v>
      </c>
      <c r="G120" s="25">
        <f>AVERAGE(B120:F120)</f>
        <v>414</v>
      </c>
      <c r="H120" s="25" t="s">
        <v>66</v>
      </c>
    </row>
    <row r="121" spans="1:11" x14ac:dyDescent="0.3">
      <c r="B121" s="24"/>
      <c r="C121" s="24"/>
      <c r="D121" s="24"/>
      <c r="E121" s="24"/>
      <c r="F121" s="24"/>
      <c r="G121" s="26">
        <f>_xlfn.STDEV.P(B120:F120)</f>
        <v>20.591260281974002</v>
      </c>
      <c r="H121" s="27" t="s">
        <v>65</v>
      </c>
    </row>
    <row r="123" spans="1:11" x14ac:dyDescent="0.3">
      <c r="B123" s="28" t="s">
        <v>63</v>
      </c>
      <c r="C123" s="28"/>
    </row>
    <row r="124" spans="1:11" x14ac:dyDescent="0.3">
      <c r="B124" s="29" t="s">
        <v>67</v>
      </c>
    </row>
    <row r="126" spans="1:11" ht="15.6" x14ac:dyDescent="0.3">
      <c r="B126" s="30" t="s">
        <v>68</v>
      </c>
      <c r="C126" s="30"/>
      <c r="D126" s="30"/>
      <c r="E126" s="30"/>
      <c r="F126" s="30"/>
      <c r="G126" s="30"/>
      <c r="H126" s="30"/>
      <c r="I126" s="30"/>
      <c r="J126" s="31"/>
    </row>
    <row r="127" spans="1:11" x14ac:dyDescent="0.3">
      <c r="B127" s="31"/>
      <c r="C127" s="31"/>
      <c r="D127" s="31"/>
      <c r="E127" s="31"/>
      <c r="F127" s="31"/>
      <c r="G127" s="31"/>
      <c r="H127" s="31"/>
      <c r="I127" s="31"/>
      <c r="J127" s="31"/>
    </row>
    <row r="128" spans="1:11" x14ac:dyDescent="0.3">
      <c r="B128" s="32" t="s">
        <v>69</v>
      </c>
      <c r="C128" s="32"/>
      <c r="D128" s="32"/>
      <c r="E128" s="31"/>
      <c r="F128" s="31"/>
      <c r="G128" s="31"/>
      <c r="H128" s="31"/>
      <c r="I128" s="31"/>
      <c r="J128" s="31"/>
    </row>
    <row r="129" spans="1:10" x14ac:dyDescent="0.3">
      <c r="B129" s="31" t="s">
        <v>70</v>
      </c>
      <c r="C129" s="31"/>
      <c r="D129" s="31"/>
      <c r="E129" s="31"/>
      <c r="F129" s="31"/>
      <c r="G129" s="31"/>
      <c r="H129" s="31"/>
      <c r="I129" s="31"/>
      <c r="J129" s="31"/>
    </row>
    <row r="130" spans="1:10" x14ac:dyDescent="0.3">
      <c r="B130" s="31"/>
      <c r="C130" s="31"/>
      <c r="D130" s="31"/>
      <c r="E130" s="31"/>
      <c r="F130" s="31"/>
      <c r="G130" s="31"/>
      <c r="H130" s="31"/>
      <c r="I130" s="31"/>
      <c r="J130" s="31"/>
    </row>
    <row r="131" spans="1:10" x14ac:dyDescent="0.3">
      <c r="B131" s="32" t="s">
        <v>71</v>
      </c>
      <c r="C131" s="32"/>
      <c r="D131" s="31"/>
      <c r="E131" s="31"/>
      <c r="F131" s="31"/>
      <c r="G131" s="31"/>
      <c r="H131" s="31"/>
      <c r="I131" s="31"/>
      <c r="J131" s="31"/>
    </row>
    <row r="132" spans="1:10" x14ac:dyDescent="0.3">
      <c r="B132" s="31" t="s">
        <v>72</v>
      </c>
      <c r="C132" s="31"/>
      <c r="D132" s="31"/>
      <c r="E132" s="31"/>
      <c r="F132" s="31"/>
      <c r="G132" s="31"/>
      <c r="H132" s="31"/>
      <c r="I132" s="31"/>
      <c r="J132" s="31"/>
    </row>
    <row r="133" spans="1:10" x14ac:dyDescent="0.3">
      <c r="B133" s="31" t="s">
        <v>73</v>
      </c>
      <c r="C133" s="31"/>
      <c r="D133" s="31"/>
      <c r="E133" s="31"/>
      <c r="F133" s="31"/>
      <c r="G133" s="31"/>
      <c r="H133" s="31"/>
      <c r="I133" s="31"/>
      <c r="J133" s="31"/>
    </row>
    <row r="134" spans="1:10" x14ac:dyDescent="0.3">
      <c r="B134" s="31"/>
      <c r="C134" s="31"/>
      <c r="D134" s="31"/>
      <c r="E134" s="31"/>
      <c r="F134" s="31"/>
      <c r="G134" s="31"/>
      <c r="H134" s="31"/>
      <c r="I134" s="31"/>
      <c r="J134" s="31"/>
    </row>
    <row r="135" spans="1:10" x14ac:dyDescent="0.3">
      <c r="B135" s="31" t="s">
        <v>74</v>
      </c>
      <c r="C135" s="31"/>
      <c r="D135" s="31"/>
      <c r="E135" s="31"/>
      <c r="F135" s="31"/>
      <c r="G135" s="31"/>
      <c r="H135" s="31"/>
      <c r="I135" s="31"/>
      <c r="J135" s="31"/>
    </row>
    <row r="136" spans="1:10" x14ac:dyDescent="0.3">
      <c r="B136" s="31"/>
      <c r="C136" s="31"/>
      <c r="D136" s="31"/>
      <c r="E136" s="31"/>
      <c r="F136" s="31"/>
      <c r="G136" s="31"/>
      <c r="H136" s="31"/>
      <c r="I136" s="31"/>
      <c r="J136" s="31"/>
    </row>
    <row r="137" spans="1:10" x14ac:dyDescent="0.3">
      <c r="B137" s="31" t="s">
        <v>75</v>
      </c>
      <c r="C137" s="31"/>
      <c r="D137" s="31"/>
      <c r="E137" s="31"/>
      <c r="F137" s="31"/>
      <c r="G137" s="31"/>
      <c r="H137" s="31"/>
      <c r="I137" s="31"/>
      <c r="J137" s="31"/>
    </row>
    <row r="138" spans="1:10" x14ac:dyDescent="0.3">
      <c r="B138" s="31"/>
      <c r="C138" s="31"/>
      <c r="D138" s="31"/>
      <c r="E138" s="31"/>
      <c r="F138" s="31"/>
      <c r="G138" s="31"/>
      <c r="H138" s="31"/>
      <c r="I138" s="31"/>
      <c r="J138" s="31"/>
    </row>
    <row r="139" spans="1:10" x14ac:dyDescent="0.3">
      <c r="B139" s="31" t="s">
        <v>76</v>
      </c>
      <c r="C139" s="31"/>
      <c r="D139" s="31"/>
      <c r="E139" s="31"/>
      <c r="F139" s="31"/>
      <c r="G139" s="31"/>
      <c r="H139" s="31"/>
      <c r="I139" s="31"/>
      <c r="J139" s="31"/>
    </row>
    <row r="142" spans="1:10" x14ac:dyDescent="0.3">
      <c r="A142" s="1" t="s">
        <v>77</v>
      </c>
    </row>
    <row r="143" spans="1:10" x14ac:dyDescent="0.3">
      <c r="B143" s="24" t="s">
        <v>78</v>
      </c>
      <c r="C143" s="33"/>
      <c r="D143" s="33"/>
      <c r="E143" s="33"/>
    </row>
    <row r="144" spans="1:10" x14ac:dyDescent="0.3">
      <c r="B144" s="24">
        <v>15</v>
      </c>
      <c r="C144" s="33"/>
      <c r="D144" s="33"/>
      <c r="E144" s="33"/>
    </row>
    <row r="145" spans="2:9" x14ac:dyDescent="0.3">
      <c r="B145" s="24">
        <v>18</v>
      </c>
      <c r="C145" s="34">
        <f>AVERAGE(B144:B151)</f>
        <v>19.625</v>
      </c>
      <c r="D145" s="34" t="s">
        <v>66</v>
      </c>
      <c r="E145" s="34"/>
      <c r="F145" s="35"/>
      <c r="G145" s="35"/>
      <c r="H145" s="35"/>
    </row>
    <row r="146" spans="2:9" x14ac:dyDescent="0.3">
      <c r="B146" s="24">
        <v>20</v>
      </c>
      <c r="C146" s="34">
        <f>MEDIAN(B144:B151)</f>
        <v>19.5</v>
      </c>
      <c r="D146" s="34" t="s">
        <v>79</v>
      </c>
      <c r="E146" s="34"/>
      <c r="F146" s="35"/>
      <c r="G146" s="35"/>
      <c r="H146" s="35"/>
    </row>
    <row r="147" spans="2:9" x14ac:dyDescent="0.3">
      <c r="B147" s="24">
        <v>22</v>
      </c>
      <c r="C147" s="38" t="e">
        <f>MODE(B144:B151)</f>
        <v>#N/A</v>
      </c>
      <c r="D147" s="38" t="s">
        <v>80</v>
      </c>
      <c r="E147" s="39"/>
      <c r="F147" s="40" t="s">
        <v>82</v>
      </c>
      <c r="G147" s="41"/>
      <c r="H147" s="41"/>
    </row>
    <row r="148" spans="2:9" x14ac:dyDescent="0.3">
      <c r="B148" s="24">
        <v>25</v>
      </c>
      <c r="C148" s="37">
        <f>MAX(B148)-MIN(B144)</f>
        <v>10</v>
      </c>
      <c r="D148" s="34" t="s">
        <v>83</v>
      </c>
      <c r="E148" s="34"/>
      <c r="F148" s="35"/>
      <c r="G148" s="35"/>
      <c r="H148" s="35"/>
    </row>
    <row r="149" spans="2:9" x14ac:dyDescent="0.3">
      <c r="B149" s="24">
        <v>17</v>
      </c>
      <c r="C149" s="36">
        <f>_xlfn.STDEV.P(B144:B151)</f>
        <v>2.912795049432761</v>
      </c>
      <c r="D149" s="34" t="s">
        <v>81</v>
      </c>
      <c r="E149" s="33"/>
    </row>
    <row r="150" spans="2:9" x14ac:dyDescent="0.3">
      <c r="B150" s="24">
        <v>19</v>
      </c>
      <c r="C150" s="33"/>
      <c r="D150" s="33"/>
      <c r="E150" s="33"/>
    </row>
    <row r="151" spans="2:9" x14ac:dyDescent="0.3">
      <c r="B151" s="24">
        <v>21</v>
      </c>
      <c r="C151" s="33"/>
      <c r="D151" s="33"/>
      <c r="E151" s="33"/>
    </row>
    <row r="153" spans="2:9" ht="15.6" x14ac:dyDescent="0.3">
      <c r="B153" s="42" t="s">
        <v>84</v>
      </c>
      <c r="C153" s="42"/>
      <c r="D153" s="43"/>
      <c r="E153" s="43"/>
      <c r="F153" s="43"/>
      <c r="G153" s="43"/>
      <c r="H153" s="43"/>
      <c r="I153" s="43"/>
    </row>
    <row r="154" spans="2:9" x14ac:dyDescent="0.3">
      <c r="B154" s="43" t="s">
        <v>85</v>
      </c>
      <c r="C154" s="43"/>
      <c r="D154" s="43"/>
      <c r="E154" s="43"/>
      <c r="F154" s="43"/>
      <c r="G154" s="43"/>
      <c r="H154" s="43"/>
      <c r="I154" s="43"/>
    </row>
    <row r="155" spans="2:9" x14ac:dyDescent="0.3">
      <c r="B155" s="43" t="s">
        <v>86</v>
      </c>
      <c r="C155" s="43"/>
      <c r="D155" s="43"/>
      <c r="E155" s="43"/>
      <c r="F155" s="43"/>
      <c r="G155" s="43"/>
      <c r="H155" s="43"/>
      <c r="I155" s="43"/>
    </row>
    <row r="156" spans="2:9" x14ac:dyDescent="0.3">
      <c r="B156" s="43"/>
      <c r="C156" s="43"/>
      <c r="D156" s="43"/>
      <c r="E156" s="43"/>
      <c r="F156" s="43"/>
      <c r="G156" s="43"/>
      <c r="H156" s="43"/>
      <c r="I156" s="43"/>
    </row>
    <row r="157" spans="2:9" ht="15.6" x14ac:dyDescent="0.3">
      <c r="B157" s="42" t="s">
        <v>87</v>
      </c>
      <c r="C157" s="42"/>
      <c r="D157" s="42"/>
      <c r="E157" s="43"/>
      <c r="F157" s="43"/>
      <c r="G157" s="43"/>
      <c r="H157" s="43"/>
      <c r="I157" s="43"/>
    </row>
    <row r="158" spans="2:9" x14ac:dyDescent="0.3">
      <c r="B158" s="43" t="s">
        <v>88</v>
      </c>
      <c r="C158" s="43"/>
      <c r="D158" s="43"/>
      <c r="E158" s="43"/>
      <c r="F158" s="43"/>
      <c r="G158" s="43"/>
      <c r="H158" s="43"/>
      <c r="I158" s="43"/>
    </row>
    <row r="159" spans="2:9" x14ac:dyDescent="0.3">
      <c r="B159" s="43"/>
      <c r="C159" s="43"/>
      <c r="D159" s="43"/>
      <c r="E159" s="43"/>
      <c r="F159" s="43"/>
      <c r="G159" s="43"/>
      <c r="H159" s="43"/>
      <c r="I159" s="43"/>
    </row>
    <row r="160" spans="2:9" ht="15.6" x14ac:dyDescent="0.3">
      <c r="B160" s="42" t="s">
        <v>89</v>
      </c>
      <c r="C160" s="42"/>
      <c r="D160" s="42"/>
      <c r="E160" s="43"/>
      <c r="F160" s="43"/>
      <c r="G160" s="43"/>
      <c r="H160" s="43"/>
      <c r="I160" s="43"/>
    </row>
    <row r="161" spans="2:9" x14ac:dyDescent="0.3">
      <c r="B161" s="43" t="s">
        <v>90</v>
      </c>
      <c r="C161" s="43"/>
      <c r="D161" s="43"/>
      <c r="E161" s="43"/>
      <c r="F161" s="43"/>
      <c r="G161" s="43"/>
      <c r="H161" s="43"/>
      <c r="I161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 1,2,3,4,5,6,7,8,9,10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Anshika Chaudhary</dc:creator>
  <cp:lastModifiedBy>Anshika Chaudhary</cp:lastModifiedBy>
  <dcterms:created xsi:type="dcterms:W3CDTF">2026-01-23T18:40:27Z</dcterms:created>
  <dcterms:modified xsi:type="dcterms:W3CDTF">2026-01-24T18:39:11Z</dcterms:modified>
</cp:coreProperties>
</file>