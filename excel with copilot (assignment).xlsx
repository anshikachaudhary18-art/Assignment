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W Course\Assignments\"/>
    </mc:Choice>
  </mc:AlternateContent>
  <xr:revisionPtr revIDLastSave="0" documentId="8_{14A17F78-E566-40FB-B52E-6FBAEDE121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tail_Dataset" sheetId="1" r:id="rId1"/>
    <sheet name="Pivot_Analysis" sheetId="2" r:id="rId2"/>
    <sheet name="Dashboard" sheetId="4" r:id="rId3"/>
    <sheet name="Summary_Report" sheetId="5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9" i="5" a="1"/>
  <c r="B8" i="5"/>
  <c r="B7" i="5"/>
  <c r="B6" i="5"/>
  <c r="A2" i="5"/>
  <c r="K33" i="4"/>
  <c r="K32" i="4"/>
  <c r="K31" i="4"/>
  <c r="H32" i="4"/>
  <c r="H31" i="4"/>
  <c r="E35" i="4"/>
  <c r="E34" i="4"/>
  <c r="E33" i="4"/>
  <c r="E32" i="4"/>
  <c r="E31" i="4"/>
  <c r="B34" i="4"/>
  <c r="B33" i="4"/>
  <c r="B32" i="4"/>
  <c r="B31" i="4"/>
  <c r="J8" i="4" a="1"/>
  <c r="H8" i="4" a="1"/>
  <c r="F8" i="4" a="1"/>
  <c r="D8" i="4" a="1"/>
  <c r="B8" i="4" a="1"/>
  <c r="I5" i="4"/>
  <c r="G5" i="4"/>
  <c r="E5" i="4" a="1"/>
  <c r="C5" i="4"/>
  <c r="A5" i="4"/>
  <c r="Q2" i="1" a="1"/>
  <c r="Q3" i="1" a="1"/>
  <c r="Q4" i="1" a="1"/>
  <c r="Q5" i="1" a="1"/>
  <c r="M30" i="1"/>
  <c r="M31" i="1"/>
  <c r="M32" i="1"/>
  <c r="M33" i="1"/>
  <c r="M27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<sst xmlns="http://schemas.openxmlformats.org/spreadsheetml/2006/main" count="2214" uniqueCount="435">
  <si>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</si>
  <si>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</si>
  <si>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</si>
  <si>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</si>
  <si>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</si>
  <si>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</si>
  <si>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</si>
  <si>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</si>
  <si>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</si>
  <si>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</si>
  <si>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</si>
  <si>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</si>
  <si>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</si>
  <si>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</si>
  <si>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</si>
  <si>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</si>
  <si>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</si>
  <si>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</si>
  <si>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</si>
  <si>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</si>
  <si>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</si>
  <si>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</si>
  <si>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</si>
  <si>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</si>
  <si>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</si>
  <si>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</si>
  <si>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</si>
  <si>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</si>
  <si>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</si>
  <si>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</si>
  <si>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</si>
  <si>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</si>
  <si>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</si>
  <si>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</si>
  <si>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</si>
  <si>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</si>
  <si>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</si>
  <si>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</si>
  <si>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</si>
  <si>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</si>
  <si>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</si>
  <si>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</si>
  <si>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</si>
  <si>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</si>
  <si>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</si>
  <si>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</si>
  <si>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</si>
  <si>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</si>
  <si>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</si>
  <si>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</si>
  <si>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</si>
  <si>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</si>
  <si>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</si>
  <si>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</si>
  <si>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</si>
  <si>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</si>
  <si>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</si>
  <si>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</si>
  <si>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</si>
  <si>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</si>
  <si>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</si>
  <si>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</si>
  <si>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</si>
  <si>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</si>
  <si>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</si>
  <si>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</si>
  <si>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</si>
  <si>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</si>
  <si>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</si>
  <si>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</si>
  <si>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</si>
  <si>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</si>
  <si>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</si>
  <si>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</si>
  <si>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</si>
  <si>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</si>
  <si>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</si>
  <si>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</si>
  <si>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</si>
  <si>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</si>
  <si>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</si>
  <si>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</si>
  <si>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</si>
  <si>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</si>
  <si>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</si>
  <si>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</si>
  <si>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</si>
  <si>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</si>
  <si>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</si>
  <si>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</si>
  <si>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</si>
  <si>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</si>
  <si>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</si>
  <si>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</si>
  <si>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</si>
  <si>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</si>
  <si>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</si>
  <si>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</si>
  <si>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</si>
  <si>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</si>
  <si>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</si>
  <si>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</si>
  <si>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</si>
  <si>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</si>
  <si>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</si>
  <si>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</si>
  <si>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</si>
  <si>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</si>
  <si>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</si>
  <si>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</si>
  <si>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</si>
  <si>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</si>
  <si>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</si>
  <si>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</si>
  <si>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</si>
  <si>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</si>
  <si>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</si>
  <si>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</si>
  <si>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</si>
  <si>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</si>
  <si>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</si>
  <si>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</si>
  <si>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</si>
  <si>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</si>
  <si>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</si>
  <si>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</si>
  <si>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</si>
  <si>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</si>
  <si>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</si>
  <si>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</si>
  <si>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</si>
  <si>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</si>
  <si>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</si>
  <si>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</si>
  <si>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</si>
  <si>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</si>
  <si>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</si>
  <si>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</si>
  <si>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</si>
  <si>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</si>
  <si>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</si>
  <si>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</si>
  <si>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</si>
  <si>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</si>
  <si>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</si>
  <si>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</si>
  <si>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</si>
  <si>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</si>
  <si>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</si>
  <si>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</si>
  <si>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</si>
  <si>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</si>
  <si>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</si>
  <si>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</si>
  <si>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</si>
  <si>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</si>
  <si>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</si>
  <si>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</si>
  <si>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</si>
  <si>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</si>
  <si>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</si>
  <si>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</si>
  <si>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</si>
  <si>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</si>
  <si>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</si>
  <si>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</si>
  <si>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</si>
  <si>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</si>
  <si>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</si>
  <si>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</si>
  <si>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</si>
  <si>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</si>
  <si>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</si>
  <si>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</si>
  <si>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</si>
  <si>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</si>
  <si>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</si>
  <si>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</si>
  <si>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</si>
  <si>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</si>
  <si>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</si>
  <si>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</si>
  <si>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</si>
  <si>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</si>
  <si>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</si>
  <si>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</si>
  <si>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</si>
  <si>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</si>
  <si>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</si>
  <si>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</si>
  <si>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</si>
  <si>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</si>
  <si>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</si>
  <si>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</si>
  <si>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</si>
  <si>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</si>
  <si>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</si>
  <si>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</si>
  <si>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</si>
  <si>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</si>
  <si>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</si>
  <si>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</si>
  <si>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</si>
  <si>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</si>
  <si>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</si>
  <si>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</si>
  <si>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</si>
  <si>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</si>
  <si>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</si>
  <si>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</si>
  <si>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</si>
  <si>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</si>
  <si>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</si>
  <si>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</si>
  <si>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</si>
  <si>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</si>
  <si>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</si>
  <si>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</si>
  <si>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</si>
  <si>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</si>
  <si>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</si>
  <si>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</si>
  <si>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</si>
  <si>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</si>
  <si>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</si>
  <si>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</si>
  <si>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</si>
  <si>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</si>
  <si>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</si>
  <si>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</si>
  <si>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</si>
  <si>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</si>
  <si>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</si>
  <si>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</si>
  <si>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</si>
  <si>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</si>
  <si>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</si>
  <si>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</si>
  <si>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</si>
  <si>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</si>
  <si>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</si>
  <si>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</si>
  <si>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</si>
  <si>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</si>
  <si>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</si>
  <si>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</si>
  <si>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</si>
  <si>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</si>
  <si>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</si>
  <si>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</si>
  <si>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</si>
  <si>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</si>
  <si>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</si>
  <si>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</si>
  <si>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</si>
  <si>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</si>
  <si>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</si>
  <si>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</si>
  <si>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</si>
  <si>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</si>
  <si>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</si>
  <si>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</si>
  <si>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</si>
  <si>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</si>
  <si>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</si>
  <si>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</si>
  <si>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</si>
  <si>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</si>
  <si>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</si>
  <si>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</si>
  <si>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</si>
  <si>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</si>
  <si>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</si>
  <si>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</si>
  <si>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</si>
  <si>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</si>
  <si>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</si>
  <si>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</si>
  <si>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</si>
  <si>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</si>
  <si>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</si>
  <si>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</si>
  <si>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</si>
  <si>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</si>
  <si>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</si>
  <si>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</si>
  <si>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</si>
  <si>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</si>
  <si>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</si>
  <si>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</si>
  <si>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</si>
  <si>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</si>
  <si>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</si>
  <si>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</si>
  <si>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</si>
  <si>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</si>
  <si>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</si>
  <si>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</si>
  <si>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</si>
  <si>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</si>
  <si>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</si>
  <si>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</si>
  <si>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</si>
  <si>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</si>
  <si>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</si>
  <si>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</si>
  <si>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</si>
  <si>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</si>
  <si>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</si>
  <si>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</si>
  <si>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</si>
  <si>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</si>
  <si>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</si>
  <si>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</si>
  <si>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</si>
  <si>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</si>
  <si>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</si>
  <si>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</si>
  <si>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</si>
  <si>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</si>
  <si>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</si>
  <si>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</si>
  <si>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</si>
  <si>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</si>
  <si>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</si>
  <si>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</si>
  <si>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</si>
  <si>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</si>
  <si>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</si>
  <si>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</si>
  <si>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</si>
  <si>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</si>
  <si>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</si>
  <si>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</si>
  <si>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</si>
  <si>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</si>
  <si>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</si>
  <si>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</si>
  <si>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</si>
  <si>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</si>
  <si>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</si>
  <si>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</si>
  <si>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</si>
  <si>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</si>
  <si>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</si>
  <si>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</si>
  <si>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</si>
  <si>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</si>
  <si>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</si>
  <si>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</si>
  <si>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</si>
  <si>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</si>
  <si>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</si>
  <si>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</si>
  <si>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</si>
  <si>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</si>
  <si>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</si>
  <si>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</si>
  <si>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</si>
  <si>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</si>
  <si>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</si>
  <si>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</si>
  <si>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</si>
  <si>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</si>
  <si>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</si>
  <si>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</si>
  <si>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</si>
  <si>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</si>
  <si>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</si>
  <si>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</si>
  <si>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</si>
  <si>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</si>
  <si>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</si>
  <si>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</si>
  <si>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</si>
  <si>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</si>
  <si>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</si>
  <si>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</si>
  <si>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</si>
  <si>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Missing Values Summary</t>
  </si>
  <si>
    <t>Column Name</t>
  </si>
  <si>
    <t>Missing Count</t>
  </si>
  <si>
    <t>Missing %</t>
  </si>
  <si>
    <t>Total Records:</t>
  </si>
  <si>
    <t>Total Missing Values:</t>
  </si>
  <si>
    <t>Detailed Missing Values by Row</t>
  </si>
  <si>
    <t>Column</t>
  </si>
  <si>
    <t>Row Numbers with Missing Values</t>
  </si>
  <si>
    <t>11, 19, 32, 51, 65, 119, 123, 223, 333, 348</t>
  </si>
  <si>
    <t>26, 160, 212, 254, 265, 285, 307, 308, 309, 325</t>
  </si>
  <si>
    <t>40, 132, 201, 229, 252, 290, 295, 315, 318, 329</t>
  </si>
  <si>
    <t>29, 38, 46, 81, 93, 158, 258, 262, 289, 309</t>
  </si>
  <si>
    <t>Total Revenue</t>
  </si>
  <si>
    <t>Total Price for ORD0123:</t>
  </si>
  <si>
    <t>Order Details for ORD0123:</t>
  </si>
  <si>
    <t>Units Sold:</t>
  </si>
  <si>
    <t>Unit Price:</t>
  </si>
  <si>
    <t>Formula:</t>
  </si>
  <si>
    <t>Total Revenue:</t>
  </si>
  <si>
    <t>Average Profit</t>
  </si>
  <si>
    <t>Row Labels</t>
  </si>
  <si>
    <t>Grand Total</t>
  </si>
  <si>
    <t>Column Labels</t>
  </si>
  <si>
    <t>Sum of Total Revenue</t>
  </si>
  <si>
    <t>Pivot Table: Total Sales by Category and Region</t>
  </si>
  <si>
    <t>Total Units Sold</t>
  </si>
  <si>
    <t>Total Profit</t>
  </si>
  <si>
    <t>Channel</t>
  </si>
  <si>
    <t>📊 RETAIL SALES DASHBOARD</t>
  </si>
  <si>
    <t>KEY PERFORMANCE INDICATORS</t>
  </si>
  <si>
    <t>ADDITIONAL METRICS</t>
  </si>
  <si>
    <t>VISUAL ANALYTICS</t>
  </si>
  <si>
    <t>Revenue</t>
  </si>
  <si>
    <t>💰 Total Revenue</t>
  </si>
  <si>
    <t>📦 Total Units Sold</t>
  </si>
  <si>
    <t>📈 Total Profit</t>
  </si>
  <si>
    <t>🛒 Total Orders</t>
  </si>
  <si>
    <t>💵 Avg Order Value</t>
  </si>
  <si>
    <t>Top Region:</t>
  </si>
  <si>
    <t>Top Category:</t>
  </si>
  <si>
    <t>Avg Profit/Order:</t>
  </si>
  <si>
    <t>Top Country:</t>
  </si>
  <si>
    <t>Profit Margin:</t>
  </si>
  <si>
    <t>Priority</t>
  </si>
  <si>
    <t>Orders</t>
  </si>
  <si>
    <t>Data Source: Retail_Dataset | 350 Orders | Last Updated: Formulas auto-refresh</t>
  </si>
  <si>
    <t>📊 CHARTS</t>
  </si>
  <si>
    <t>📋 RETAIL SALES SUMMARY REPORT</t>
  </si>
  <si>
    <t>1. EXECUTIVE SUMMARY</t>
  </si>
  <si>
    <t>Metric</t>
  </si>
  <si>
    <t>Value</t>
  </si>
  <si>
    <t>Total Orders</t>
  </si>
  <si>
    <t>Profit Margin</t>
  </si>
  <si>
    <t>Average Order Value</t>
  </si>
  <si>
    <t>Average Units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</si>
</sst>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$&quot;#,##0"/>
    <numFmt numFmtId="166" formatCode="0.0%"/>
  </numFmts>
  <fonts count="3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4"/>
      <color rgb="FFFFFFFF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24"/>
      <color rgb="FFFFFFFF"/>
      <name val="Calibri"/>
      <scheme val="minor"/>
    </font>
    <font>
      <b/>
      <sz val="12"/>
      <color rgb="FF1F4E79"/>
      <name val="Calibri"/>
      <scheme val="minor"/>
    </font>
    <font>
      <i/>
      <sz val="9"/>
      <color rgb="FF808080"/>
      <name val="Calibri"/>
      <scheme val="minor"/>
    </font>
    <font>
      <b/>
      <sz val="11"/>
      <color rgb="FF1F4E79"/>
      <name val="Calibri"/>
      <scheme val="minor"/>
    </font>
    <font>
      <b/>
      <sz val="18"/>
      <color rgb="FF2E75B6"/>
      <name val="Calibri"/>
      <scheme val="minor"/>
    </font>
    <font>
      <b/>
      <sz val="11"/>
      <color rgb="FF375623"/>
      <name val="Calibri"/>
      <scheme val="minor"/>
    </font>
    <font>
      <b/>
      <sz val="18"/>
      <color rgb="FF548235"/>
      <name val="Calibri"/>
      <scheme val="minor"/>
    </font>
    <font>
      <b/>
      <sz val="11"/>
      <color rgb="FF843C0C"/>
      <name val="Calibri"/>
      <scheme val="minor"/>
    </font>
    <font>
      <b/>
      <sz val="18"/>
      <color rgb="FFC65911"/>
      <name val="Calibri"/>
      <scheme val="minor"/>
    </font>
    <font>
      <b/>
      <sz val="11"/>
      <color rgb="FF4A235A"/>
      <name val="Calibri"/>
      <scheme val="minor"/>
    </font>
    <font>
      <b/>
      <sz val="18"/>
      <color rgb="FF7D3C98"/>
      <name val="Calibri"/>
      <scheme val="minor"/>
    </font>
    <font>
      <b/>
      <sz val="11"/>
      <color rgb="FF1B4F72"/>
      <name val="Calibri"/>
      <scheme val="minor"/>
    </font>
    <font>
      <b/>
      <sz val="18"/>
      <color rgb="FF2980B9"/>
      <name val="Calibri"/>
      <scheme val="minor"/>
    </font>
    <font>
      <b/>
      <sz val="11"/>
      <color rgb="FF595959"/>
      <name val="Calibri"/>
      <scheme val="minor"/>
    </font>
    <font>
      <b/>
      <sz val="11"/>
      <color rgb="FF2E75B6"/>
      <name val="Calibri"/>
      <scheme val="minor"/>
    </font>
    <font>
      <b/>
      <sz val="11"/>
      <color rgb="FF548235"/>
      <name val="Calibri"/>
      <scheme val="minor"/>
    </font>
    <font>
      <b/>
      <sz val="11"/>
      <color rgb="FFC65911"/>
      <name val="Calibri"/>
      <scheme val="minor"/>
    </font>
    <font>
      <b/>
      <sz val="11"/>
      <color rgb="FF7D3C98"/>
      <name val="Calibri"/>
      <scheme val="minor"/>
    </font>
    <font>
      <b/>
      <sz val="11"/>
      <color rgb="FF2980B9"/>
      <name val="Calibri"/>
      <scheme val="minor"/>
    </font>
    <font>
      <b/>
      <sz val="20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6" fillId="0" borderId="0" xfId="0" applyFont="1"/>
    <xf numFmtId="0" fontId="6" fillId="3" borderId="0" xfId="0" applyFont="1" applyFill="1"/>
    <xf numFmtId="10" fontId="0" fillId="0" borderId="0" xfId="0" applyNumberFormat="1"/>
    <xf numFmtId="0" fontId="0" fillId="4" borderId="0" xfId="0" applyFill="1"/>
    <xf numFmtId="0" fontId="1" fillId="0" borderId="2" xfId="0" applyFont="1" applyBorder="1" applyAlignment="1">
      <alignment horizontal="center" vertical="top"/>
    </xf>
    <xf numFmtId="4" fontId="0" fillId="0" borderId="0" xfId="0" applyNumberFormat="1"/>
    <xf numFmtId="4" fontId="6" fillId="5" borderId="0" xfId="0" applyNumberFormat="1" applyFont="1" applyFill="1"/>
    <xf numFmtId="3" fontId="0" fillId="0" borderId="0" xfId="0" applyNumberFormat="1"/>
    <xf numFmtId="0" fontId="10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12" fillId="0" borderId="0" xfId="0" applyFont="1"/>
    <xf numFmtId="0" fontId="0" fillId="3" borderId="0" xfId="0" applyFill="1"/>
    <xf numFmtId="0" fontId="12" fillId="3" borderId="0" xfId="0" applyFont="1" applyFill="1"/>
    <xf numFmtId="0" fontId="0" fillId="8" borderId="0" xfId="0" applyFill="1"/>
    <xf numFmtId="0" fontId="24" fillId="8" borderId="0" xfId="0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3" fillId="0" borderId="0" xfId="0" applyFont="1"/>
    <xf numFmtId="0" fontId="5" fillId="0" borderId="3" xfId="0" applyFont="1" applyBorder="1"/>
    <xf numFmtId="0" fontId="0" fillId="0" borderId="3" xfId="0" applyBorder="1"/>
    <xf numFmtId="0" fontId="4" fillId="13" borderId="3" xfId="0" applyFont="1" applyFill="1" applyBorder="1"/>
    <xf numFmtId="165" fontId="0" fillId="0" borderId="3" xfId="0" applyNumberFormat="1" applyBorder="1"/>
    <xf numFmtId="3" fontId="0" fillId="0" borderId="3" xfId="0" applyNumberFormat="1" applyBorder="1"/>
    <xf numFmtId="166" fontId="0" fillId="0" borderId="3" xfId="0" applyNumberFormat="1" applyBorder="1"/>
    <xf numFmtId="0" fontId="23" fillId="11" borderId="0" xfId="0" applyFont="1" applyFill="1" applyAlignment="1">
      <alignment horizontal="center"/>
    </xf>
    <xf numFmtId="0" fontId="0" fillId="11" borderId="0" xfId="0" applyFill="1"/>
    <xf numFmtId="0" fontId="11" fillId="6" borderId="0" xfId="0" applyFont="1" applyFill="1" applyAlignment="1">
      <alignment horizontal="center" vertical="center"/>
    </xf>
    <xf numFmtId="0" fontId="0" fillId="6" borderId="0" xfId="0" applyFill="1"/>
    <xf numFmtId="0" fontId="14" fillId="9" borderId="0" xfId="0" applyFont="1" applyFill="1"/>
    <xf numFmtId="0" fontId="0" fillId="9" borderId="0" xfId="0" applyFill="1"/>
    <xf numFmtId="0" fontId="15" fillId="9" borderId="0" xfId="0" applyFont="1" applyFill="1" applyAlignment="1">
      <alignment horizontal="center"/>
    </xf>
    <xf numFmtId="0" fontId="16" fillId="5" borderId="0" xfId="0" applyFont="1" applyFill="1"/>
    <xf numFmtId="0" fontId="0" fillId="5" borderId="0" xfId="0" applyFill="1"/>
    <xf numFmtId="0" fontId="17" fillId="5" borderId="0" xfId="0" applyFont="1" applyFill="1" applyAlignment="1">
      <alignment horizontal="center"/>
    </xf>
    <xf numFmtId="0" fontId="18" fillId="7" borderId="0" xfId="0" applyFont="1" applyFill="1"/>
    <xf numFmtId="0" fontId="0" fillId="7" borderId="0" xfId="0" applyFill="1"/>
    <xf numFmtId="0" fontId="19" fillId="7" borderId="0" xfId="0" applyFont="1" applyFill="1" applyAlignment="1">
      <alignment horizontal="center"/>
    </xf>
    <xf numFmtId="0" fontId="20" fillId="10" borderId="0" xfId="0" applyFont="1" applyFill="1"/>
    <xf numFmtId="0" fontId="0" fillId="10" borderId="0" xfId="0" applyFill="1"/>
    <xf numFmtId="0" fontId="21" fillId="10" borderId="0" xfId="0" applyFont="1" applyFill="1" applyAlignment="1">
      <alignment horizontal="center"/>
    </xf>
    <xf numFmtId="0" fontId="22" fillId="11" borderId="0" xfId="0" applyFont="1" applyFill="1"/>
    <xf numFmtId="0" fontId="30" fillId="6" borderId="0" xfId="0" applyFont="1" applyFill="1" applyAlignment="1">
      <alignment horizontal="center"/>
    </xf>
    <xf numFmtId="0" fontId="31" fillId="12" borderId="0" xfId="0" applyFont="1" applyFill="1" applyAlignment="1">
      <alignment horizontal="center"/>
    </xf>
    <xf numFmtId="0" fontId="0" fillId="0" borderId="0" xfId="0"/>
    <xf numFmtId="0" fontId="32" fillId="9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Retail_Dataset!$Q$1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Retail_Dataset!$P$2:$P$5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Retail_Dataset!$Q$2:$Q$5</c:f>
              <c:numCache>
                <c:formatCode>#,##0.00</c:formatCode>
                <c:ptCount val="4"/>
                <c:pt idx="0">
                  <c:v>12492.869670329672</c:v>
                </c:pt>
                <c:pt idx="1">
                  <c:v>11221.349811320755</c:v>
                </c:pt>
                <c:pt idx="2">
                  <c:v>16727.885128205122</c:v>
                </c:pt>
                <c:pt idx="3">
                  <c:v>19174.704533333344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A-450D-8C4E-205E76E5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275087"/>
        <c:axId val="2147274127"/>
      </c:barChart>
      <c:catAx>
        <c:axId val="214727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274127"/>
        <c:crosses val="autoZero"/>
        <c:auto val="1"/>
        <c:lblAlgn val="ctr"/>
        <c:lblOffset val="100"/>
        <c:noMultiLvlLbl val="0"/>
      </c:catAx>
      <c:valAx>
        <c:axId val="21472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27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Dashboard!$A$31:$A$34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Dashboard!$B$31:$B$34</c:f>
              <c:numCache>
                <c:formatCode>General</c:formatCode>
                <c:ptCount val="4"/>
                <c:pt idx="0">
                  <c:v>6295610.5399999991</c:v>
                </c:pt>
                <c:pt idx="1">
                  <c:v>5246046.5999999996</c:v>
                </c:pt>
                <c:pt idx="2">
                  <c:v>4293176.2899999991</c:v>
                </c:pt>
                <c:pt idx="3">
                  <c:v>6624854.2899999982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A-46CD-976D-D00398BF4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455487"/>
        <c:axId val="945452127"/>
      </c:barChart>
      <c:catAx>
        <c:axId val="94545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52127"/>
        <c:crosses val="autoZero"/>
        <c:auto val="1"/>
        <c:lblAlgn val="ctr"/>
        <c:lblOffset val="100"/>
        <c:noMultiLvlLbl val="0"/>
      </c:catAx>
      <c:valAx>
        <c:axId val="9454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5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Dashboard!$E$30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E-4CA6-8B5B-5081EC9267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E-4CA6-8B5B-5081EC9267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E-4CA6-8B5B-5081EC9267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EE-4CA6-8B5B-5081EC9267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EE-4CA6-8B5B-5081EC92679D}"/>
              </c:ext>
            </c:extLst>
          </c:dPt>
          <c:cat>
            <c:strRef>
              <c:f>Dashboard!$D$31:$D$35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Dashboard!$E$31:$E$35</c:f>
              <c:numCache>
                <c:formatCode>General</c:formatCode>
                <c:ptCount val="5"/>
                <c:pt idx="0">
                  <c:v>5564208.3099999987</c:v>
                </c:pt>
                <c:pt idx="1">
                  <c:v>3847485.5000000005</c:v>
                </c:pt>
                <c:pt idx="2">
                  <c:v>4523201.0799999982</c:v>
                </c:pt>
                <c:pt idx="3">
                  <c:v>4065109.2499999995</c:v>
                </c:pt>
                <c:pt idx="4">
                  <c:v>4459683.58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0-4A75-8E75-D2683CF57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Dashboard!$H$30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4-461C-A5C5-EBADA67255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4-461C-A5C5-EBADA6725516}"/>
              </c:ext>
            </c:extLst>
          </c:dPt>
          <c:cat>
            <c:strRef>
              <c:f>Dashboard!$G$31:$G$32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Dashboard!$H$31:$H$32</c:f>
              <c:numCache>
                <c:formatCode>General</c:formatCode>
                <c:ptCount val="2"/>
                <c:pt idx="0">
                  <c:v>12339578.910000006</c:v>
                </c:pt>
                <c:pt idx="1">
                  <c:v>10120108.809999999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5-4ED9-887F-2329194A3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89119541875445E-2"/>
          <c:y val="0.12954166666666669"/>
          <c:w val="0.85550178954903366"/>
          <c:h val="0.748798884514435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Dashboard!$K$30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Dashboard!$J$31:$J$33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Dashboard!$K$31:$K$33</c:f>
              <c:numCache>
                <c:formatCode>General</c:formatCode>
                <c:ptCount val="3"/>
                <c:pt idx="0">
                  <c:v>125</c:v>
                </c:pt>
                <c:pt idx="1">
                  <c:v>116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C-407A-BBEC-B5A7E82C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690095"/>
        <c:axId val="1029064319"/>
      </c:barChart>
      <c:catAx>
        <c:axId val="95669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64319"/>
        <c:crosses val="autoZero"/>
        <c:auto val="1"/>
        <c:lblAlgn val="ctr"/>
        <c:lblOffset val="100"/>
        <c:noMultiLvlLbl val="0"/>
      </c:catAx>
      <c:valAx>
        <c:axId val="102906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26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8D28D-55B5-EA6D-D819-481932936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251459</xdr:rowOff>
    </xdr:from>
    <xdr:to>
      <xdr:col>4</xdr:col>
      <xdr:colOff>1038087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AE1627-CCA5-6F20-0A45-52F3CC4C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1093304</xdr:colOff>
      <xdr:row>11</xdr:row>
      <xdr:rowOff>22087</xdr:rowOff>
    </xdr:from>
    <xdr:to>
      <xdr:col>8</xdr:col>
      <xdr:colOff>1159565</xdr:colOff>
      <xdr:row>21</xdr:row>
      <xdr:rowOff>22087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434833-371A-947A-D019-7B39DA87E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110435</xdr:rowOff>
    </xdr:from>
    <xdr:to>
      <xdr:col>4</xdr:col>
      <xdr:colOff>1027043</xdr:colOff>
      <xdr:row>32</xdr:row>
      <xdr:rowOff>88347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55498E-5857-DAF9-F55D-9AD87E589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1093304</xdr:colOff>
      <xdr:row>21</xdr:row>
      <xdr:rowOff>77304</xdr:rowOff>
    </xdr:from>
    <xdr:to>
      <xdr:col>8</xdr:col>
      <xdr:colOff>1148522</xdr:colOff>
      <xdr:row>32</xdr:row>
      <xdr:rowOff>44174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C72498-BD75-548D-EEDC-51813375D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24.973217592589" createdVersion="8" refreshedVersion="8" minRefreshableVersion="3" recordCount="350" xr:uid="{92B92448-2C70-4F41-BD2C-92E607BDE410}">
  <cacheSource type="worksheet">
    <worksheetSource ref="A1:K351" sheet="Retail_Dataset"/>
  </cacheSource>
  <cacheFields count="11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unt="5">
        <s v="Beverages"/>
        <s v="Food"/>
        <s v="Clothing"/>
        <s v="Furniture"/>
        <s v="Electronics"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containsInteg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4">
      <sharedItems containsSemiMixedTypes="0" containsString="0" containsNumber="1" minValue="627.52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</r>
  <r>
    <s v="ORD0002"/>
    <x v="1"/>
    <s v="India"/>
    <x v="1"/>
    <s v="Online"/>
    <s v="Low"/>
    <d v="2023-01-02T00:00:00"/>
    <n v="341"/>
    <n v="467.92"/>
    <n v="139.84"/>
    <n v="159560.72"/>
  </r>
  <r>
    <s v="ORD0003"/>
    <x v="2"/>
    <s v="India"/>
    <x v="2"/>
    <s v="Offline"/>
    <s v="High"/>
    <d v="2023-01-03T00:00:00"/>
    <n v="179"/>
    <n v="473.94"/>
    <n v="97.14"/>
    <n v="84835.26"/>
  </r>
  <r>
    <s v="ORD0004"/>
    <x v="0"/>
    <s v="USA"/>
    <x v="3"/>
    <s v="Offline"/>
    <s v="Medium"/>
    <d v="2023-01-04T00:00:00"/>
    <n v="18"/>
    <n v="314.52999999999997"/>
    <n v="204.87"/>
    <n v="5661.5399999999991"/>
  </r>
  <r>
    <s v="ORD0005"/>
    <x v="0"/>
    <s v="India"/>
    <x v="3"/>
    <s v="Offline"/>
    <s v="Medium"/>
    <d v="2023-01-05T00:00:00"/>
    <n v="472"/>
    <n v="392.79"/>
    <n v="330.46"/>
    <n v="185396.88"/>
  </r>
  <r>
    <s v="ORD0006"/>
    <x v="1"/>
    <s v="UK"/>
    <x v="2"/>
    <s v="Online"/>
    <s v="High"/>
    <d v="2023-01-06T00:00:00"/>
    <n v="49"/>
    <n v="308.07"/>
    <n v="113.32"/>
    <n v="15095.43"/>
  </r>
  <r>
    <s v="ORD0007"/>
    <x v="2"/>
    <s v="Germany"/>
    <x v="2"/>
    <s v="Online"/>
    <s v="Low"/>
    <d v="2023-01-07T00:00:00"/>
    <n v="34"/>
    <n v="244.78"/>
    <n v="377.07"/>
    <n v="8322.52"/>
  </r>
  <r>
    <s v="ORD0008"/>
    <x v="2"/>
    <s v="India"/>
    <x v="0"/>
    <s v="Online"/>
    <s v="High"/>
    <d v="2023-01-08T00:00:00"/>
    <n v="270"/>
    <n v="332.11"/>
    <n v="349.59"/>
    <n v="89669.7"/>
  </r>
  <r>
    <s v="ORD0009"/>
    <x v="0"/>
    <s v="India"/>
    <x v="0"/>
    <s v="Online"/>
    <s v="Low"/>
    <d v="2023-01-09T00:00:00"/>
    <n v="404"/>
    <n v="278.74"/>
    <n v="66.38"/>
    <n v="112610.96"/>
  </r>
  <r>
    <s v="ORD0010"/>
    <x v="1"/>
    <s v="USA"/>
    <x v="3"/>
    <s v="Online"/>
    <s v="Medium"/>
    <d v="2023-01-10T00:00:00"/>
    <n v="452"/>
    <n v="300.75"/>
    <n v="314.94"/>
    <n v="135939"/>
  </r>
  <r>
    <s v="ORD0011"/>
    <x v="0"/>
    <s v="USA"/>
    <x v="1"/>
    <s v="Online"/>
    <s v="Low"/>
    <d v="2023-01-11T00:00:00"/>
    <n v="235"/>
    <n v="393"/>
    <n v="230.69"/>
    <n v="92355"/>
  </r>
  <r>
    <s v="ORD0012"/>
    <x v="0"/>
    <s v="UK"/>
    <x v="3"/>
    <s v="Offline"/>
    <s v="Medium"/>
    <d v="2023-01-12T00:00:00"/>
    <n v="481"/>
    <n v="243.05"/>
    <n v="227.5"/>
    <n v="116907.05"/>
  </r>
  <r>
    <s v="ORD0013"/>
    <x v="0"/>
    <s v="Germany"/>
    <x v="1"/>
    <s v="Offline"/>
    <s v="Low"/>
    <d v="2023-01-13T00:00:00"/>
    <n v="133"/>
    <n v="25.17"/>
    <n v="157.63999999999999"/>
    <n v="3347.61"/>
  </r>
  <r>
    <s v="ORD0014"/>
    <x v="0"/>
    <s v="USA"/>
    <x v="1"/>
    <s v="Offline"/>
    <s v="Low"/>
    <d v="2023-01-14T00:00:00"/>
    <n v="472"/>
    <n v="86.18"/>
    <n v="201.46"/>
    <n v="40676.960000000006"/>
  </r>
  <r>
    <s v="ORD0015"/>
    <x v="1"/>
    <s v="India"/>
    <x v="0"/>
    <s v="Offline"/>
    <s v="Low"/>
    <d v="2023-01-15T00:00:00"/>
    <n v="47"/>
    <n v="222.11"/>
    <n v="160.08000000000001"/>
    <n v="10439.17"/>
  </r>
  <r>
    <s v="ORD0016"/>
    <x v="2"/>
    <s v="Germany"/>
    <x v="4"/>
    <s v="Online"/>
    <s v="High"/>
    <d v="2023-01-16T00:00:00"/>
    <n v="337"/>
    <n v="363.79"/>
    <n v="216.81"/>
    <n v="122597.23000000001"/>
  </r>
  <r>
    <s v="ORD0017"/>
    <x v="1"/>
    <s v="Germany"/>
    <x v="4"/>
    <s v="Online"/>
    <s v="High"/>
    <d v="2023-01-17T00:00:00"/>
    <n v="260"/>
    <n v="298.67"/>
    <n v="251.92"/>
    <n v="77654.2"/>
  </r>
  <r>
    <s v="ORD0018"/>
    <x v="1"/>
    <s v="India"/>
    <x v="2"/>
    <s v="Offline"/>
    <s v="Medium"/>
    <d v="2023-01-18T00:00:00"/>
    <n v="398"/>
    <n v="326.89999999999998"/>
    <n v="270.37"/>
    <n v="130106.2"/>
  </r>
  <r>
    <s v="ORD0019"/>
    <x v="1"/>
    <s v="USA"/>
    <x v="0"/>
    <s v="Online"/>
    <s v="Medium"/>
    <d v="2023-01-19T00:00:00"/>
    <n v="185"/>
    <n v="242.24"/>
    <n v="213.93"/>
    <n v="44814.400000000001"/>
  </r>
  <r>
    <s v="ORD0020"/>
    <x v="0"/>
    <s v="India"/>
    <x v="1"/>
    <s v="Offline"/>
    <s v="High"/>
    <d v="2023-01-20T00:00:00"/>
    <n v="99"/>
    <n v="309.79000000000002"/>
    <n v="289.13"/>
    <n v="30669.210000000003"/>
  </r>
  <r>
    <s v="ORD0021"/>
    <x v="3"/>
    <s v="Germany"/>
    <x v="4"/>
    <s v="Offline"/>
    <s v="Medium"/>
    <d v="2023-01-21T00:00:00"/>
    <n v="411"/>
    <n v="167.86"/>
    <n v="58.23"/>
    <n v="68990.460000000006"/>
  </r>
  <r>
    <s v="ORD0022"/>
    <x v="2"/>
    <s v="Australia"/>
    <x v="1"/>
    <s v="Offline"/>
    <s v="High"/>
    <d v="2023-01-22T00:00:00"/>
    <n v="463"/>
    <n v="237.74"/>
    <n v="86.37"/>
    <n v="110073.62000000001"/>
  </r>
  <r>
    <s v="ORD0023"/>
    <x v="3"/>
    <s v="Australia"/>
    <x v="4"/>
    <s v="Online"/>
    <s v="Low"/>
    <d v="2023-01-23T00:00:00"/>
    <n v="46"/>
    <n v="373.42"/>
    <n v="327.86"/>
    <n v="17177.32"/>
  </r>
  <r>
    <s v="ORD0024"/>
    <x v="1"/>
    <s v="UK"/>
    <x v="4"/>
    <s v="Offline"/>
    <s v="Medium"/>
    <d v="2023-01-24T00:00:00"/>
    <n v="325"/>
    <n v="436.56"/>
    <n v="130.37"/>
    <n v="141882"/>
  </r>
  <r>
    <s v="ORD0025"/>
    <x v="1"/>
    <s v="India"/>
    <x v="0"/>
    <s v="Offline"/>
    <s v="Medium"/>
    <d v="2023-01-25T00:00:00"/>
    <n v="185"/>
    <n v="219.66"/>
    <n v="11.11"/>
    <n v="40637.1"/>
  </r>
  <r>
    <s v="ORD0026"/>
    <x v="3"/>
    <s v="India"/>
    <x v="0"/>
    <s v="Offline"/>
    <s v="High"/>
    <d v="2023-01-26T00:00:00"/>
    <n v="470"/>
    <n v="26.61"/>
    <n v="63.21"/>
    <n v="12506.699999999999"/>
  </r>
  <r>
    <s v="ORD0027"/>
    <x v="3"/>
    <s v="UK"/>
    <x v="3"/>
    <s v="Online"/>
    <s v="Medium"/>
    <d v="2023-01-27T00:00:00"/>
    <n v="293"/>
    <n v="85.03"/>
    <n v="91"/>
    <n v="24913.79"/>
  </r>
  <r>
    <s v="ORD0028"/>
    <x v="3"/>
    <s v="UK"/>
    <x v="1"/>
    <s v="Online"/>
    <s v="Medium"/>
    <d v="2023-01-28T00:00:00"/>
    <n v="462"/>
    <n v="249.65"/>
    <n v="383.01"/>
    <n v="115338.3"/>
  </r>
  <r>
    <s v="ORD0029"/>
    <x v="1"/>
    <s v="UK"/>
    <x v="0"/>
    <s v="Offline"/>
    <s v="Low"/>
    <d v="2023-01-29T00:00:00"/>
    <n v="470"/>
    <n v="328.37"/>
    <n v="230.07"/>
    <n v="154333.9"/>
  </r>
  <r>
    <s v="ORD0030"/>
    <x v="1"/>
    <s v="Germany"/>
    <x v="0"/>
    <s v="Online"/>
    <s v="Medium"/>
    <d v="2023-01-30T00:00:00"/>
    <n v="90"/>
    <n v="169.5"/>
    <n v="373.23"/>
    <n v="15255"/>
  </r>
  <r>
    <s v="ORD0031"/>
    <x v="1"/>
    <s v="India"/>
    <x v="0"/>
    <s v="Online"/>
    <s v="Low"/>
    <d v="2023-01-31T00:00:00"/>
    <n v="123"/>
    <n v="273.52999999999997"/>
    <n v="230.92"/>
    <n v="33644.189999999995"/>
  </r>
  <r>
    <s v="ORD0032"/>
    <x v="2"/>
    <s v="Germany"/>
    <x v="0"/>
    <s v="Online"/>
    <s v="High"/>
    <d v="2023-02-01T00:00:00"/>
    <n v="49"/>
    <n v="249.17"/>
    <n v="192.78"/>
    <n v="12209.33"/>
  </r>
  <r>
    <s v="ORD0033"/>
    <x v="1"/>
    <s v="UK"/>
    <x v="0"/>
    <s v="Online"/>
    <s v="Medium"/>
    <d v="2023-02-02T00:00:00"/>
    <n v="310"/>
    <n v="45.36"/>
    <n v="126.86"/>
    <n v="14061.6"/>
  </r>
  <r>
    <s v="ORD0034"/>
    <x v="3"/>
    <s v="India"/>
    <x v="2"/>
    <s v="Online"/>
    <s v="Low"/>
    <d v="2023-02-03T00:00:00"/>
    <n v="233"/>
    <n v="204.61"/>
    <n v="243.34"/>
    <n v="47674.130000000005"/>
  </r>
  <r>
    <s v="ORD0035"/>
    <x v="3"/>
    <s v="Germany"/>
    <x v="1"/>
    <s v="Online"/>
    <s v="High"/>
    <d v="2023-02-04T00:00:00"/>
    <n v="327"/>
    <n v="114.18"/>
    <n v="57.4"/>
    <n v="37336.86"/>
  </r>
  <r>
    <s v="ORD0036"/>
    <x v="2"/>
    <s v="Germany"/>
    <x v="0"/>
    <s v="Online"/>
    <s v="Medium"/>
    <d v="2023-02-05T00:00:00"/>
    <n v="358"/>
    <n v="212.11"/>
    <n v="359.51"/>
    <n v="75935.38"/>
  </r>
  <r>
    <s v="ORD0037"/>
    <x v="1"/>
    <s v="UK"/>
    <x v="1"/>
    <s v="Online"/>
    <s v="High"/>
    <d v="2023-02-06T00:00:00"/>
    <n v="124"/>
    <n v="249.65"/>
    <n v="332.07"/>
    <n v="30956.600000000002"/>
  </r>
  <r>
    <s v="ORD0038"/>
    <x v="2"/>
    <s v="India"/>
    <x v="2"/>
    <s v="Online"/>
    <s v="Medium"/>
    <d v="2023-02-07T00:00:00"/>
    <n v="195"/>
    <n v="421.02"/>
    <n v="128.38"/>
    <n v="82098.899999999994"/>
  </r>
  <r>
    <s v="ORD0039"/>
    <x v="2"/>
    <s v="UK"/>
    <x v="2"/>
    <s v="Online"/>
    <s v="High"/>
    <d v="2023-02-08T00:00:00"/>
    <n v="256"/>
    <n v="91.23"/>
    <n v="381.21"/>
    <n v="23354.880000000001"/>
  </r>
  <r>
    <s v="ORD0040"/>
    <x v="0"/>
    <s v="India"/>
    <x v="1"/>
    <s v="Offline"/>
    <s v="High"/>
    <d v="2023-02-09T00:00:00"/>
    <n v="65"/>
    <n v="480.59"/>
    <n v="330.43"/>
    <n v="31238.35"/>
  </r>
  <r>
    <s v="ORD0041"/>
    <x v="0"/>
    <s v="Australia"/>
    <x v="4"/>
    <s v="Offline"/>
    <s v="Low"/>
    <d v="2023-02-10T00:00:00"/>
    <n v="49"/>
    <n v="210.87"/>
    <n v="267.19"/>
    <n v="10332.630000000001"/>
  </r>
  <r>
    <s v="ORD0042"/>
    <x v="0"/>
    <s v="USA"/>
    <x v="3"/>
    <s v="Online"/>
    <s v="High"/>
    <d v="2023-02-11T00:00:00"/>
    <n v="363"/>
    <n v="423.89"/>
    <n v="50.46"/>
    <n v="153872.07"/>
  </r>
  <r>
    <s v="ORD0043"/>
    <x v="3"/>
    <s v="USA"/>
    <x v="4"/>
    <s v="Offline"/>
    <s v="Medium"/>
    <d v="2023-02-12T00:00:00"/>
    <n v="49"/>
    <n v="316.24"/>
    <n v="192.34"/>
    <n v="15495.76"/>
  </r>
  <r>
    <s v="ORD0044"/>
    <x v="1"/>
    <s v="USA"/>
    <x v="4"/>
    <s v="Offline"/>
    <s v="Medium"/>
    <d v="2023-02-13T00:00:00"/>
    <n v="356"/>
    <n v="369"/>
    <n v="203.43"/>
    <n v="131364"/>
  </r>
  <r>
    <s v="ORD0045"/>
    <x v="1"/>
    <s v="UK"/>
    <x v="4"/>
    <s v="Online"/>
    <s v="Low"/>
    <d v="2023-02-14T00:00:00"/>
    <n v="470"/>
    <n v="249.65"/>
    <n v="94.56"/>
    <n v="117335.5"/>
  </r>
  <r>
    <s v="ORD0046"/>
    <x v="1"/>
    <s v="Australia"/>
    <x v="0"/>
    <s v="Online"/>
    <s v="Medium"/>
    <d v="2023-02-15T00:00:00"/>
    <n v="246"/>
    <n v="254.9"/>
    <n v="33.83"/>
    <n v="62705.4"/>
  </r>
  <r>
    <s v="ORD0047"/>
    <x v="1"/>
    <s v="India"/>
    <x v="2"/>
    <s v="Online"/>
    <s v="Medium"/>
    <d v="2023-02-16T00:00:00"/>
    <n v="298"/>
    <n v="273.93"/>
    <n v="311.14"/>
    <n v="81631.14"/>
  </r>
  <r>
    <s v="ORD0048"/>
    <x v="0"/>
    <s v="Germany"/>
    <x v="4"/>
    <s v="Offline"/>
    <s v="Medium"/>
    <d v="2023-02-17T00:00:00"/>
    <n v="271"/>
    <n v="259.43"/>
    <n v="50.57"/>
    <n v="70305.53"/>
  </r>
  <r>
    <s v="ORD0049"/>
    <x v="3"/>
    <s v="India"/>
    <x v="2"/>
    <s v="Offline"/>
    <s v="High"/>
    <d v="2023-02-18T00:00:00"/>
    <n v="225"/>
    <n v="296.08999999999997"/>
    <n v="238.53"/>
    <n v="66620.25"/>
  </r>
  <r>
    <s v="ORD0050"/>
    <x v="1"/>
    <s v="Germany"/>
    <x v="1"/>
    <s v="Online"/>
    <s v="High"/>
    <d v="2023-02-19T00:00:00"/>
    <n v="156"/>
    <n v="19.55"/>
    <n v="374.71"/>
    <n v="3049.8"/>
  </r>
  <r>
    <s v="ORD0051"/>
    <x v="0"/>
    <s v="India"/>
    <x v="3"/>
    <s v="Online"/>
    <s v="Medium"/>
    <d v="2023-02-20T00:00:00"/>
    <n v="345"/>
    <n v="200.78"/>
    <n v="350.69"/>
    <n v="69269.100000000006"/>
  </r>
  <r>
    <s v="ORD0052"/>
    <x v="3"/>
    <s v="Australia"/>
    <x v="1"/>
    <s v="Online"/>
    <s v="Low"/>
    <d v="2023-02-21T00:00:00"/>
    <n v="177"/>
    <n v="305.06"/>
    <n v="112.55"/>
    <n v="53995.62"/>
  </r>
  <r>
    <s v="ORD0053"/>
    <x v="0"/>
    <s v="Germany"/>
    <x v="1"/>
    <s v="Offline"/>
    <s v="High"/>
    <d v="2023-02-22T00:00:00"/>
    <n v="101"/>
    <n v="300.87"/>
    <n v="340.88"/>
    <n v="30387.87"/>
  </r>
  <r>
    <s v="ORD0054"/>
    <x v="1"/>
    <s v="UK"/>
    <x v="0"/>
    <s v="Offline"/>
    <s v="Low"/>
    <d v="2023-02-23T00:00:00"/>
    <n v="362"/>
    <n v="397.51"/>
    <n v="2.13"/>
    <n v="143898.62"/>
  </r>
  <r>
    <s v="ORD0055"/>
    <x v="0"/>
    <s v="India"/>
    <x v="3"/>
    <s v="Offline"/>
    <s v="Medium"/>
    <d v="2023-02-24T00:00:00"/>
    <n v="68"/>
    <n v="329.23"/>
    <n v="9.0399999999999991"/>
    <n v="22387.64"/>
  </r>
  <r>
    <s v="ORD0056"/>
    <x v="1"/>
    <s v="India"/>
    <x v="1"/>
    <s v="Offline"/>
    <s v="Medium"/>
    <d v="2023-02-25T00:00:00"/>
    <n v="68"/>
    <n v="496.11"/>
    <n v="241.82"/>
    <n v="33735.480000000003"/>
  </r>
  <r>
    <s v="ORD0057"/>
    <x v="1"/>
    <s v="Germany"/>
    <x v="1"/>
    <s v="Online"/>
    <s v="High"/>
    <d v="2023-02-26T00:00:00"/>
    <n v="313"/>
    <n v="145.51"/>
    <n v="147.19"/>
    <n v="45544.63"/>
  </r>
  <r>
    <s v="ORD0058"/>
    <x v="2"/>
    <s v="UK"/>
    <x v="3"/>
    <s v="Online"/>
    <s v="Medium"/>
    <d v="2023-02-27T00:00:00"/>
    <n v="178"/>
    <n v="182.78"/>
    <n v="155.81"/>
    <n v="32534.84"/>
  </r>
  <r>
    <s v="ORD0059"/>
    <x v="0"/>
    <s v="UK"/>
    <x v="3"/>
    <s v="Online"/>
    <s v="High"/>
    <d v="2023-02-28T00:00:00"/>
    <n v="278"/>
    <n v="195"/>
    <n v="226.65"/>
    <n v="54210"/>
  </r>
  <r>
    <s v="ORD0060"/>
    <x v="2"/>
    <s v="Australia"/>
    <x v="1"/>
    <s v="Online"/>
    <s v="Medium"/>
    <d v="2023-03-01T00:00:00"/>
    <n v="372"/>
    <n v="235.58"/>
    <n v="78.33"/>
    <n v="87635.760000000009"/>
  </r>
  <r>
    <s v="ORD0061"/>
    <x v="0"/>
    <s v="UK"/>
    <x v="3"/>
    <s v="Offline"/>
    <s v="Medium"/>
    <d v="2023-03-02T00:00:00"/>
    <n v="54"/>
    <n v="418.82"/>
    <n v="86.28"/>
    <n v="22616.28"/>
  </r>
  <r>
    <s v="ORD0062"/>
    <x v="0"/>
    <s v="UK"/>
    <x v="1"/>
    <s v="Offline"/>
    <s v="High"/>
    <d v="2023-03-03T00:00:00"/>
    <n v="354"/>
    <n v="121.72"/>
    <n v="194.87"/>
    <n v="43088.88"/>
  </r>
  <r>
    <s v="ORD0063"/>
    <x v="2"/>
    <s v="UK"/>
    <x v="1"/>
    <s v="Online"/>
    <s v="High"/>
    <d v="2023-03-04T00:00:00"/>
    <n v="190"/>
    <n v="389.12"/>
    <n v="302.19"/>
    <n v="73932.800000000003"/>
  </r>
  <r>
    <s v="ORD0064"/>
    <x v="1"/>
    <s v="USA"/>
    <x v="0"/>
    <s v="Online"/>
    <s v="High"/>
    <d v="2023-03-05T00:00:00"/>
    <n v="179"/>
    <n v="205.63"/>
    <n v="248.56"/>
    <n v="36807.769999999997"/>
  </r>
  <r>
    <s v="ORD0065"/>
    <x v="0"/>
    <s v="Australia"/>
    <x v="4"/>
    <s v="Offline"/>
    <s v="Medium"/>
    <d v="2023-03-06T00:00:00"/>
    <n v="365"/>
    <n v="302.92"/>
    <n v="120.35"/>
    <n v="110565.8"/>
  </r>
  <r>
    <s v="ORD0066"/>
    <x v="3"/>
    <s v="India"/>
    <x v="1"/>
    <s v="Online"/>
    <s v="Medium"/>
    <d v="2023-03-07T00:00:00"/>
    <n v="200"/>
    <n v="318.11"/>
    <n v="173.27"/>
    <n v="63622"/>
  </r>
  <r>
    <s v="ORD0067"/>
    <x v="1"/>
    <s v="Germany"/>
    <x v="2"/>
    <s v="Offline"/>
    <s v="Low"/>
    <d v="2023-03-08T00:00:00"/>
    <n v="164"/>
    <n v="189.56"/>
    <n v="69.92"/>
    <n v="31087.84"/>
  </r>
  <r>
    <s v="ORD0068"/>
    <x v="2"/>
    <s v="India"/>
    <x v="4"/>
    <s v="Online"/>
    <s v="High"/>
    <d v="2023-03-09T00:00:00"/>
    <n v="431"/>
    <n v="258.74"/>
    <n v="31.7"/>
    <n v="111516.94"/>
  </r>
  <r>
    <s v="ORD0069"/>
    <x v="1"/>
    <s v="Australia"/>
    <x v="4"/>
    <s v="Online"/>
    <s v="Medium"/>
    <d v="2023-03-10T00:00:00"/>
    <n v="197"/>
    <n v="209.45"/>
    <n v="313.51"/>
    <n v="41261.649999999994"/>
  </r>
  <r>
    <s v="ORD0070"/>
    <x v="3"/>
    <s v="Germany"/>
    <x v="4"/>
    <s v="Online"/>
    <s v="Medium"/>
    <d v="2023-03-11T00:00:00"/>
    <n v="16"/>
    <n v="39.22"/>
    <n v="107.62"/>
    <n v="627.52"/>
  </r>
  <r>
    <s v="ORD0071"/>
    <x v="3"/>
    <s v="Australia"/>
    <x v="0"/>
    <s v="Online"/>
    <s v="High"/>
    <d v="2023-03-12T00:00:00"/>
    <n v="142"/>
    <n v="221.4"/>
    <n v="72.75"/>
    <n v="31438.799999999999"/>
  </r>
  <r>
    <s v="ORD0072"/>
    <x v="3"/>
    <s v="UK"/>
    <x v="1"/>
    <s v="Online"/>
    <s v="Low"/>
    <d v="2023-03-13T00:00:00"/>
    <n v="244"/>
    <n v="53.21"/>
    <n v="277.26"/>
    <n v="12983.24"/>
  </r>
  <r>
    <s v="ORD0073"/>
    <x v="2"/>
    <s v="Germany"/>
    <x v="0"/>
    <s v="Online"/>
    <s v="High"/>
    <d v="2023-03-14T00:00:00"/>
    <n v="54"/>
    <n v="205.49"/>
    <n v="247.98"/>
    <n v="11096.460000000001"/>
  </r>
  <r>
    <s v="ORD0074"/>
    <x v="3"/>
    <s v="UK"/>
    <x v="1"/>
    <s v="Online"/>
    <s v="Low"/>
    <d v="2023-03-15T00:00:00"/>
    <n v="323"/>
    <n v="298.49"/>
    <n v="254.01"/>
    <n v="96412.27"/>
  </r>
  <r>
    <s v="ORD0075"/>
    <x v="2"/>
    <s v="India"/>
    <x v="0"/>
    <s v="Offline"/>
    <s v="Medium"/>
    <d v="2023-03-16T00:00:00"/>
    <n v="258"/>
    <n v="291.81"/>
    <n v="93.1"/>
    <n v="75286.98"/>
  </r>
  <r>
    <s v="ORD0076"/>
    <x v="3"/>
    <s v="India"/>
    <x v="0"/>
    <s v="Offline"/>
    <s v="Low"/>
    <d v="2023-03-17T00:00:00"/>
    <n v="40"/>
    <n v="333"/>
    <n v="94.59"/>
    <n v="13320"/>
  </r>
  <r>
    <s v="ORD0077"/>
    <x v="1"/>
    <s v="Germany"/>
    <x v="2"/>
    <s v="Offline"/>
    <s v="Medium"/>
    <d v="2023-03-18T00:00:00"/>
    <n v="32"/>
    <n v="52.15"/>
    <n v="89.88"/>
    <n v="1668.8"/>
  </r>
  <r>
    <s v="ORD0078"/>
    <x v="1"/>
    <s v="Germany"/>
    <x v="0"/>
    <s v="Offline"/>
    <s v="High"/>
    <d v="2023-03-19T00:00:00"/>
    <n v="435"/>
    <n v="327.8"/>
    <n v="71.150000000000006"/>
    <n v="142593"/>
  </r>
  <r>
    <s v="ORD0079"/>
    <x v="0"/>
    <s v="Australia"/>
    <x v="3"/>
    <s v="Offline"/>
    <s v="High"/>
    <d v="2023-03-20T00:00:00"/>
    <n v="403"/>
    <n v="159.51"/>
    <n v="262.98"/>
    <n v="64282.53"/>
  </r>
  <r>
    <s v="ORD0080"/>
    <x v="1"/>
    <s v="Australia"/>
    <x v="2"/>
    <s v="Online"/>
    <s v="High"/>
    <d v="2023-03-21T00:00:00"/>
    <n v="169"/>
    <n v="249.65"/>
    <n v="339.51"/>
    <n v="42190.85"/>
  </r>
  <r>
    <s v="ORD0081"/>
    <x v="0"/>
    <s v="UK"/>
    <x v="0"/>
    <s v="Online"/>
    <s v="Low"/>
    <d v="2023-03-22T00:00:00"/>
    <n v="372"/>
    <n v="429.7"/>
    <n v="290.27999999999997"/>
    <n v="159848.4"/>
  </r>
  <r>
    <s v="ORD0082"/>
    <x v="1"/>
    <s v="Germany"/>
    <x v="4"/>
    <s v="Offline"/>
    <s v="Medium"/>
    <d v="2023-03-23T00:00:00"/>
    <n v="446"/>
    <n v="9.4700000000000006"/>
    <n v="317.25"/>
    <n v="4223.62"/>
  </r>
  <r>
    <s v="ORD0083"/>
    <x v="2"/>
    <s v="India"/>
    <x v="3"/>
    <s v="Online"/>
    <s v="High"/>
    <d v="2023-03-24T00:00:00"/>
    <n v="167"/>
    <n v="296.26"/>
    <n v="163.11000000000001"/>
    <n v="49475.42"/>
  </r>
  <r>
    <s v="ORD0084"/>
    <x v="1"/>
    <s v="Australia"/>
    <x v="3"/>
    <s v="Offline"/>
    <s v="High"/>
    <d v="2023-03-25T00:00:00"/>
    <n v="48"/>
    <n v="301.36"/>
    <n v="262.32"/>
    <n v="14465.28"/>
  </r>
  <r>
    <s v="ORD0085"/>
    <x v="0"/>
    <s v="Australia"/>
    <x v="3"/>
    <s v="Offline"/>
    <s v="Medium"/>
    <d v="2023-03-26T00:00:00"/>
    <n v="424"/>
    <n v="201.35"/>
    <n v="142.99"/>
    <n v="85372.4"/>
  </r>
  <r>
    <s v="ORD0086"/>
    <x v="0"/>
    <s v="India"/>
    <x v="2"/>
    <s v="Online"/>
    <s v="High"/>
    <d v="2023-03-27T00:00:00"/>
    <n v="91"/>
    <n v="122.33"/>
    <n v="211.15"/>
    <n v="11132.03"/>
  </r>
  <r>
    <s v="ORD0087"/>
    <x v="3"/>
    <s v="Australia"/>
    <x v="0"/>
    <s v="Online"/>
    <s v="Medium"/>
    <d v="2023-03-28T00:00:00"/>
    <n v="365"/>
    <n v="121.16"/>
    <n v="193.69"/>
    <n v="44223.4"/>
  </r>
  <r>
    <s v="ORD0088"/>
    <x v="2"/>
    <s v="UK"/>
    <x v="0"/>
    <s v="Online"/>
    <s v="Medium"/>
    <d v="2023-03-29T00:00:00"/>
    <n v="267"/>
    <n v="442.44"/>
    <n v="72.400000000000006"/>
    <n v="118131.48"/>
  </r>
  <r>
    <s v="ORD0089"/>
    <x v="1"/>
    <s v="Germany"/>
    <x v="4"/>
    <s v="Offline"/>
    <s v="Medium"/>
    <d v="2023-03-30T00:00:00"/>
    <n v="215"/>
    <n v="223.8"/>
    <n v="156.06"/>
    <n v="48117"/>
  </r>
  <r>
    <s v="ORD0090"/>
    <x v="3"/>
    <s v="India"/>
    <x v="4"/>
    <s v="Online"/>
    <s v="Medium"/>
    <d v="2023-03-31T00:00:00"/>
    <n v="86"/>
    <n v="168.79"/>
    <n v="385.6"/>
    <n v="14515.939999999999"/>
  </r>
  <r>
    <s v="ORD0091"/>
    <x v="1"/>
    <s v="Germany"/>
    <x v="3"/>
    <s v="Offline"/>
    <s v="Medium"/>
    <d v="2023-04-01T00:00:00"/>
    <n v="486"/>
    <n v="227.14"/>
    <n v="100.93"/>
    <n v="110390.04"/>
  </r>
  <r>
    <s v="ORD0092"/>
    <x v="1"/>
    <s v="Australia"/>
    <x v="4"/>
    <s v="Offline"/>
    <s v="Low"/>
    <d v="2023-04-02T00:00:00"/>
    <n v="21"/>
    <n v="249.65"/>
    <n v="55.25"/>
    <n v="5242.6500000000005"/>
  </r>
  <r>
    <s v="ORD0093"/>
    <x v="3"/>
    <s v="Australia"/>
    <x v="2"/>
    <s v="Offline"/>
    <s v="High"/>
    <d v="2023-04-03T00:00:00"/>
    <n v="304"/>
    <n v="77.150000000000006"/>
    <n v="168.6"/>
    <n v="23453.600000000002"/>
  </r>
  <r>
    <s v="ORD0094"/>
    <x v="3"/>
    <s v="India"/>
    <x v="0"/>
    <s v="Online"/>
    <s v="Low"/>
    <d v="2023-04-04T00:00:00"/>
    <n v="459"/>
    <n v="227.47"/>
    <n v="316.55"/>
    <n v="104408.73"/>
  </r>
  <r>
    <s v="ORD0095"/>
    <x v="3"/>
    <s v="UK"/>
    <x v="3"/>
    <s v="Online"/>
    <s v="High"/>
    <d v="2023-04-05T00:00:00"/>
    <n v="233"/>
    <n v="296"/>
    <n v="233.69"/>
    <n v="68968"/>
  </r>
  <r>
    <s v="ORD0096"/>
    <x v="3"/>
    <s v="USA"/>
    <x v="4"/>
    <s v="Offline"/>
    <s v="Low"/>
    <d v="2023-04-06T00:00:00"/>
    <n v="22"/>
    <n v="474.55"/>
    <n v="273.02999999999997"/>
    <n v="10440.1"/>
  </r>
  <r>
    <s v="ORD0097"/>
    <x v="3"/>
    <s v="India"/>
    <x v="2"/>
    <s v="Online"/>
    <s v="Medium"/>
    <d v="2023-04-07T00:00:00"/>
    <n v="55"/>
    <n v="130"/>
    <n v="77.5"/>
    <n v="7150"/>
  </r>
  <r>
    <s v="ORD0098"/>
    <x v="1"/>
    <s v="USA"/>
    <x v="2"/>
    <s v="Online"/>
    <s v="High"/>
    <d v="2023-04-08T00:00:00"/>
    <n v="164"/>
    <n v="182.83"/>
    <n v="248.34"/>
    <n v="29984.120000000003"/>
  </r>
  <r>
    <s v="ORD0099"/>
    <x v="3"/>
    <s v="USA"/>
    <x v="4"/>
    <s v="Online"/>
    <s v="High"/>
    <d v="2023-04-09T00:00:00"/>
    <n v="122"/>
    <n v="192.78"/>
    <n v="130.75"/>
    <n v="23519.16"/>
  </r>
  <r>
    <s v="ORD0100"/>
    <x v="2"/>
    <s v="UK"/>
    <x v="0"/>
    <s v="Offline"/>
    <s v="Low"/>
    <d v="2023-04-10T00:00:00"/>
    <n v="242"/>
    <n v="304.74"/>
    <n v="334.05"/>
    <n v="73747.08"/>
  </r>
  <r>
    <s v="ORD0101"/>
    <x v="0"/>
    <s v="USA"/>
    <x v="4"/>
    <s v="Offline"/>
    <s v="Low"/>
    <d v="2023-04-11T00:00:00"/>
    <n v="26"/>
    <n v="181.58"/>
    <n v="252.46"/>
    <n v="4721.08"/>
  </r>
  <r>
    <s v="ORD0102"/>
    <x v="3"/>
    <s v="USA"/>
    <x v="3"/>
    <s v="Online"/>
    <s v="High"/>
    <d v="2023-04-12T00:00:00"/>
    <n v="369"/>
    <n v="269.08999999999997"/>
    <n v="81.14"/>
    <n v="99294.209999999992"/>
  </r>
  <r>
    <s v="ORD0103"/>
    <x v="3"/>
    <s v="UK"/>
    <x v="4"/>
    <s v="Offline"/>
    <s v="Low"/>
    <d v="2023-04-13T00:00:00"/>
    <n v="232"/>
    <n v="391.99"/>
    <n v="27.72"/>
    <n v="90941.680000000008"/>
  </r>
  <r>
    <s v="ORD0104"/>
    <x v="1"/>
    <s v="USA"/>
    <x v="2"/>
    <s v="Online"/>
    <s v="Low"/>
    <d v="2023-04-14T00:00:00"/>
    <n v="363"/>
    <n v="354.17"/>
    <n v="18.97"/>
    <n v="128563.71"/>
  </r>
  <r>
    <s v="ORD0105"/>
    <x v="3"/>
    <s v="USA"/>
    <x v="4"/>
    <s v="Online"/>
    <s v="Low"/>
    <d v="2023-04-15T00:00:00"/>
    <n v="197"/>
    <n v="225.95"/>
    <n v="149.82"/>
    <n v="44512.149999999994"/>
  </r>
  <r>
    <s v="ORD0106"/>
    <x v="3"/>
    <s v="USA"/>
    <x v="0"/>
    <s v="Online"/>
    <s v="Medium"/>
    <d v="2023-04-16T00:00:00"/>
    <n v="457"/>
    <n v="432.79"/>
    <n v="107.81"/>
    <n v="197785.03"/>
  </r>
  <r>
    <s v="ORD0107"/>
    <x v="3"/>
    <s v="India"/>
    <x v="1"/>
    <s v="Online"/>
    <s v="Medium"/>
    <d v="2023-04-17T00:00:00"/>
    <n v="353"/>
    <n v="281.27999999999997"/>
    <n v="259.14"/>
    <n v="99291.839999999997"/>
  </r>
  <r>
    <s v="ORD0108"/>
    <x v="1"/>
    <s v="India"/>
    <x v="4"/>
    <s v="Offline"/>
    <s v="Low"/>
    <d v="2023-04-18T00:00:00"/>
    <n v="374"/>
    <n v="272.25"/>
    <n v="200.73"/>
    <n v="101821.5"/>
  </r>
  <r>
    <s v="ORD0109"/>
    <x v="3"/>
    <s v="India"/>
    <x v="0"/>
    <s v="Offline"/>
    <s v="Low"/>
    <d v="2023-04-19T00:00:00"/>
    <n v="172"/>
    <n v="21.92"/>
    <n v="107.88"/>
    <n v="3770.2400000000002"/>
  </r>
  <r>
    <s v="ORD0110"/>
    <x v="0"/>
    <s v="UK"/>
    <x v="0"/>
    <s v="Offline"/>
    <s v="Medium"/>
    <d v="2023-04-20T00:00:00"/>
    <n v="335"/>
    <n v="493.41"/>
    <n v="61.4"/>
    <n v="165292.35"/>
  </r>
  <r>
    <s v="ORD0111"/>
    <x v="1"/>
    <s v="Australia"/>
    <x v="2"/>
    <s v="Online"/>
    <s v="Medium"/>
    <d v="2023-04-21T00:00:00"/>
    <n v="476"/>
    <n v="65.87"/>
    <n v="52.63"/>
    <n v="31354.120000000003"/>
  </r>
  <r>
    <s v="ORD0112"/>
    <x v="0"/>
    <s v="USA"/>
    <x v="0"/>
    <s v="Online"/>
    <s v="High"/>
    <d v="2023-04-22T00:00:00"/>
    <n v="423"/>
    <n v="119.41"/>
    <n v="346.13"/>
    <n v="50510.43"/>
  </r>
  <r>
    <s v="ORD0113"/>
    <x v="1"/>
    <s v="USA"/>
    <x v="0"/>
    <s v="Online"/>
    <s v="High"/>
    <d v="2023-04-23T00:00:00"/>
    <n v="464"/>
    <n v="30.59"/>
    <n v="98.9"/>
    <n v="14193.76"/>
  </r>
  <r>
    <s v="ORD0114"/>
    <x v="3"/>
    <s v="UK"/>
    <x v="0"/>
    <s v="Offline"/>
    <s v="Medium"/>
    <d v="2023-04-24T00:00:00"/>
    <n v="83"/>
    <n v="321.8"/>
    <n v="261.38"/>
    <n v="26709.4"/>
  </r>
  <r>
    <s v="ORD0115"/>
    <x v="0"/>
    <s v="USA"/>
    <x v="0"/>
    <s v="Online"/>
    <s v="Low"/>
    <d v="2023-04-25T00:00:00"/>
    <n v="242"/>
    <n v="116.23"/>
    <n v="324.64999999999998"/>
    <n v="28127.66"/>
  </r>
  <r>
    <s v="ORD0116"/>
    <x v="1"/>
    <s v="India"/>
    <x v="3"/>
    <s v="Offline"/>
    <s v="Low"/>
    <d v="2023-04-26T00:00:00"/>
    <n v="233"/>
    <n v="94.11"/>
    <n v="246.4"/>
    <n v="21927.63"/>
  </r>
  <r>
    <s v="ORD0117"/>
    <x v="2"/>
    <s v="Australia"/>
    <x v="3"/>
    <s v="Offline"/>
    <s v="Low"/>
    <d v="2023-04-27T00:00:00"/>
    <n v="491"/>
    <n v="48.84"/>
    <n v="344.11"/>
    <n v="23980.440000000002"/>
  </r>
  <r>
    <s v="ORD0118"/>
    <x v="1"/>
    <s v="Germany"/>
    <x v="2"/>
    <s v="Offline"/>
    <s v="Low"/>
    <d v="2023-04-28T00:00:00"/>
    <n v="328"/>
    <n v="56.14"/>
    <n v="158.16999999999999"/>
    <n v="18413.920000000002"/>
  </r>
  <r>
    <s v="ORD0119"/>
    <x v="1"/>
    <s v="USA"/>
    <x v="4"/>
    <s v="Offline"/>
    <s v="High"/>
    <d v="2023-04-29T00:00:00"/>
    <n v="421"/>
    <n v="294.41000000000003"/>
    <n v="382.58"/>
    <n v="123946.61000000002"/>
  </r>
  <r>
    <s v="ORD0120"/>
    <x v="2"/>
    <s v="India"/>
    <x v="0"/>
    <s v="Offline"/>
    <s v="Medium"/>
    <d v="2023-04-30T00:00:00"/>
    <n v="69"/>
    <n v="345.66"/>
    <n v="54.99"/>
    <n v="23850.54"/>
  </r>
  <r>
    <s v="ORD0121"/>
    <x v="1"/>
    <s v="Germany"/>
    <x v="4"/>
    <s v="Offline"/>
    <s v="Low"/>
    <d v="2023-05-01T00:00:00"/>
    <n v="344"/>
    <n v="201.7"/>
    <n v="42.66"/>
    <n v="69384.800000000003"/>
  </r>
  <r>
    <s v="ORD0122"/>
    <x v="1"/>
    <s v="Australia"/>
    <x v="4"/>
    <s v="Online"/>
    <s v="High"/>
    <d v="2023-05-02T00:00:00"/>
    <n v="231"/>
    <n v="242.55"/>
    <n v="264.16000000000003"/>
    <n v="56029.05"/>
  </r>
  <r>
    <s v="ORD0123"/>
    <x v="3"/>
    <s v="Germany"/>
    <x v="2"/>
    <s v="Online"/>
    <s v="Low"/>
    <d v="2023-05-03T00:00:00"/>
    <n v="46"/>
    <n v="344.55"/>
    <n v="377.25"/>
    <n v="15849.300000000001"/>
  </r>
  <r>
    <s v="ORD0124"/>
    <x v="0"/>
    <s v="India"/>
    <x v="0"/>
    <s v="Offline"/>
    <s v="Medium"/>
    <d v="2023-05-04T00:00:00"/>
    <n v="486"/>
    <n v="13.6"/>
    <n v="323.94"/>
    <n v="6609.5999999999995"/>
  </r>
  <r>
    <s v="ORD0125"/>
    <x v="2"/>
    <s v="Germany"/>
    <x v="0"/>
    <s v="Offline"/>
    <s v="High"/>
    <d v="2023-05-05T00:00:00"/>
    <n v="287"/>
    <n v="164.95"/>
    <n v="32.409999999999997"/>
    <n v="47340.649999999994"/>
  </r>
  <r>
    <s v="ORD0126"/>
    <x v="1"/>
    <s v="UK"/>
    <x v="1"/>
    <s v="Online"/>
    <s v="Medium"/>
    <d v="2023-05-06T00:00:00"/>
    <n v="205"/>
    <n v="486.68"/>
    <n v="113.19"/>
    <n v="99769.4"/>
  </r>
  <r>
    <s v="ORD0127"/>
    <x v="3"/>
    <s v="Germany"/>
    <x v="4"/>
    <s v="Offline"/>
    <s v="Medium"/>
    <d v="2023-05-07T00:00:00"/>
    <n v="413"/>
    <n v="292.16000000000003"/>
    <n v="372.27"/>
    <n v="120662.08000000002"/>
  </r>
  <r>
    <s v="ORD0128"/>
    <x v="2"/>
    <s v="USA"/>
    <x v="4"/>
    <s v="Offline"/>
    <s v="High"/>
    <d v="2023-05-08T00:00:00"/>
    <n v="361"/>
    <n v="130.84"/>
    <n v="102.72"/>
    <n v="47233.24"/>
  </r>
  <r>
    <s v="ORD0129"/>
    <x v="1"/>
    <s v="USA"/>
    <x v="3"/>
    <s v="Online"/>
    <s v="High"/>
    <d v="2023-05-09T00:00:00"/>
    <n v="493"/>
    <n v="263.26"/>
    <n v="312.91000000000003"/>
    <n v="129787.18"/>
  </r>
  <r>
    <s v="ORD0130"/>
    <x v="1"/>
    <s v="UK"/>
    <x v="1"/>
    <s v="Offline"/>
    <s v="High"/>
    <d v="2023-05-10T00:00:00"/>
    <n v="251"/>
    <n v="174.61"/>
    <n v="330.4"/>
    <n v="43827.11"/>
  </r>
  <r>
    <s v="ORD0131"/>
    <x v="1"/>
    <s v="India"/>
    <x v="3"/>
    <s v="Offline"/>
    <s v="High"/>
    <d v="2023-05-11T00:00:00"/>
    <n v="256"/>
    <n v="268.45999999999998"/>
    <n v="199.19"/>
    <n v="68725.759999999995"/>
  </r>
  <r>
    <s v="ORD0132"/>
    <x v="2"/>
    <s v="USA"/>
    <x v="3"/>
    <s v="Offline"/>
    <s v="High"/>
    <d v="2023-05-12T00:00:00"/>
    <n v="228"/>
    <n v="67.239999999999995"/>
    <n v="155.77000000000001"/>
    <n v="15330.72"/>
  </r>
  <r>
    <s v="ORD0133"/>
    <x v="2"/>
    <s v="Australia"/>
    <x v="3"/>
    <s v="Online"/>
    <s v="High"/>
    <d v="2023-05-13T00:00:00"/>
    <n v="201"/>
    <n v="70.69"/>
    <n v="181.15"/>
    <n v="14208.689999999999"/>
  </r>
  <r>
    <s v="ORD0134"/>
    <x v="2"/>
    <s v="USA"/>
    <x v="2"/>
    <s v="Online"/>
    <s v="High"/>
    <d v="2023-05-14T00:00:00"/>
    <n v="26"/>
    <n v="76.05"/>
    <n v="92.33"/>
    <n v="1977.3"/>
  </r>
  <r>
    <s v="ORD0135"/>
    <x v="0"/>
    <s v="USA"/>
    <x v="2"/>
    <s v="Online"/>
    <s v="Low"/>
    <d v="2023-05-15T00:00:00"/>
    <n v="21"/>
    <n v="470.21"/>
    <n v="355.98"/>
    <n v="9874.41"/>
  </r>
  <r>
    <s v="ORD0136"/>
    <x v="2"/>
    <s v="India"/>
    <x v="3"/>
    <s v="Offline"/>
    <s v="Medium"/>
    <d v="2023-05-16T00:00:00"/>
    <n v="415"/>
    <n v="367.78"/>
    <n v="181.35"/>
    <n v="152628.69999999998"/>
  </r>
  <r>
    <s v="ORD0137"/>
    <x v="2"/>
    <s v="Germany"/>
    <x v="1"/>
    <s v="Offline"/>
    <s v="High"/>
    <d v="2023-05-17T00:00:00"/>
    <n v="410"/>
    <n v="85.38"/>
    <n v="353.22"/>
    <n v="35005.799999999996"/>
  </r>
  <r>
    <s v="ORD0138"/>
    <x v="2"/>
    <s v="USA"/>
    <x v="4"/>
    <s v="Online"/>
    <s v="Low"/>
    <d v="2023-05-18T00:00:00"/>
    <n v="403"/>
    <n v="98.23"/>
    <n v="44.07"/>
    <n v="39586.69"/>
  </r>
  <r>
    <s v="ORD0139"/>
    <x v="0"/>
    <s v="UK"/>
    <x v="1"/>
    <s v="Offline"/>
    <s v="Low"/>
    <d v="2023-05-19T00:00:00"/>
    <n v="383"/>
    <n v="366.76"/>
    <n v="395.33"/>
    <n v="140469.07999999999"/>
  </r>
  <r>
    <s v="ORD0140"/>
    <x v="2"/>
    <s v="Germany"/>
    <x v="0"/>
    <s v="Offline"/>
    <s v="Low"/>
    <d v="2023-05-20T00:00:00"/>
    <n v="202"/>
    <n v="82.3"/>
    <n v="178.42"/>
    <n v="16624.599999999999"/>
  </r>
  <r>
    <s v="ORD0141"/>
    <x v="1"/>
    <s v="Australia"/>
    <x v="2"/>
    <s v="Offline"/>
    <s v="Medium"/>
    <d v="2023-05-21T00:00:00"/>
    <n v="31"/>
    <n v="121.11"/>
    <n v="21.04"/>
    <n v="3754.41"/>
  </r>
  <r>
    <s v="ORD0142"/>
    <x v="2"/>
    <s v="India"/>
    <x v="4"/>
    <s v="Offline"/>
    <s v="High"/>
    <d v="2023-05-22T00:00:00"/>
    <n v="483"/>
    <n v="481.86"/>
    <n v="17.13"/>
    <n v="232738.38"/>
  </r>
  <r>
    <s v="ORD0143"/>
    <x v="1"/>
    <s v="Australia"/>
    <x v="4"/>
    <s v="Offline"/>
    <s v="Low"/>
    <d v="2023-05-23T00:00:00"/>
    <n v="129"/>
    <n v="131.38"/>
    <n v="298.99"/>
    <n v="16948.02"/>
  </r>
  <r>
    <s v="ORD0144"/>
    <x v="1"/>
    <s v="Germany"/>
    <x v="0"/>
    <s v="Online"/>
    <s v="Medium"/>
    <d v="2023-05-24T00:00:00"/>
    <n v="219"/>
    <n v="332.51"/>
    <n v="264.3"/>
    <n v="72819.69"/>
  </r>
  <r>
    <s v="ORD0145"/>
    <x v="1"/>
    <s v="Germany"/>
    <x v="0"/>
    <s v="Offline"/>
    <s v="Medium"/>
    <d v="2023-05-25T00:00:00"/>
    <n v="315"/>
    <n v="489.42"/>
    <n v="321.25"/>
    <n v="154167.30000000002"/>
  </r>
  <r>
    <s v="ORD0146"/>
    <x v="0"/>
    <s v="Germany"/>
    <x v="3"/>
    <s v="Online"/>
    <s v="Medium"/>
    <d v="2023-05-26T00:00:00"/>
    <n v="279"/>
    <n v="190.28"/>
    <n v="43.94"/>
    <n v="53088.12"/>
  </r>
  <r>
    <s v="ORD0147"/>
    <x v="0"/>
    <s v="Australia"/>
    <x v="2"/>
    <s v="Offline"/>
    <s v="Low"/>
    <d v="2023-05-27T00:00:00"/>
    <n v="201"/>
    <n v="13.67"/>
    <n v="16.16"/>
    <n v="2747.67"/>
  </r>
  <r>
    <s v="ORD0148"/>
    <x v="0"/>
    <s v="Germany"/>
    <x v="2"/>
    <s v="Online"/>
    <s v="High"/>
    <d v="2023-05-28T00:00:00"/>
    <n v="184"/>
    <n v="125.85"/>
    <n v="204.41"/>
    <n v="23156.399999999998"/>
  </r>
  <r>
    <s v="ORD0149"/>
    <x v="2"/>
    <s v="Australia"/>
    <x v="1"/>
    <s v="Offline"/>
    <s v="Low"/>
    <d v="2023-05-29T00:00:00"/>
    <n v="294"/>
    <n v="416.28"/>
    <n v="156.26"/>
    <n v="122386.31999999999"/>
  </r>
  <r>
    <s v="ORD0150"/>
    <x v="1"/>
    <s v="Germany"/>
    <x v="3"/>
    <s v="Online"/>
    <s v="Low"/>
    <d v="2023-05-30T00:00:00"/>
    <n v="213"/>
    <n v="432.98"/>
    <n v="185.85"/>
    <n v="92224.74"/>
  </r>
  <r>
    <s v="ORD0151"/>
    <x v="0"/>
    <s v="UK"/>
    <x v="3"/>
    <s v="Offline"/>
    <s v="High"/>
    <d v="2023-05-31T00:00:00"/>
    <n v="173"/>
    <n v="385.42"/>
    <n v="396.65"/>
    <n v="66677.66"/>
  </r>
  <r>
    <s v="ORD0152"/>
    <x v="0"/>
    <s v="Germany"/>
    <x v="3"/>
    <s v="Online"/>
    <s v="High"/>
    <d v="2023-06-01T00:00:00"/>
    <n v="260"/>
    <n v="60.99"/>
    <n v="388.36"/>
    <n v="15857.4"/>
  </r>
  <r>
    <s v="ORD0153"/>
    <x v="2"/>
    <s v="Australia"/>
    <x v="3"/>
    <s v="Offline"/>
    <s v="High"/>
    <d v="2023-06-02T00:00:00"/>
    <n v="236"/>
    <n v="398.78"/>
    <n v="377.04"/>
    <n v="94112.079999999987"/>
  </r>
  <r>
    <s v="ORD0154"/>
    <x v="0"/>
    <s v="USA"/>
    <x v="2"/>
    <s v="Online"/>
    <s v="Medium"/>
    <d v="2023-06-03T00:00:00"/>
    <n v="445"/>
    <n v="459.75"/>
    <n v="313.97000000000003"/>
    <n v="204588.75"/>
  </r>
  <r>
    <s v="ORD0155"/>
    <x v="2"/>
    <s v="Germany"/>
    <x v="2"/>
    <s v="Offline"/>
    <s v="High"/>
    <d v="2023-06-04T00:00:00"/>
    <n v="390"/>
    <n v="302.3"/>
    <n v="143.22999999999999"/>
    <n v="117897"/>
  </r>
  <r>
    <s v="ORD0156"/>
    <x v="3"/>
    <s v="USA"/>
    <x v="3"/>
    <s v="Online"/>
    <s v="Low"/>
    <d v="2023-06-05T00:00:00"/>
    <n v="469"/>
    <n v="470.73"/>
    <n v="166.03"/>
    <n v="220772.37"/>
  </r>
  <r>
    <s v="ORD0157"/>
    <x v="0"/>
    <s v="UK"/>
    <x v="1"/>
    <s v="Online"/>
    <s v="High"/>
    <d v="2023-06-06T00:00:00"/>
    <n v="16"/>
    <n v="249.65"/>
    <n v="220.75"/>
    <n v="3994.4"/>
  </r>
  <r>
    <s v="ORD0158"/>
    <x v="3"/>
    <s v="India"/>
    <x v="4"/>
    <s v="Offline"/>
    <s v="Low"/>
    <d v="2023-06-07T00:00:00"/>
    <n v="38"/>
    <n v="335.15"/>
    <n v="332.55"/>
    <n v="12735.699999999999"/>
  </r>
  <r>
    <s v="ORD0159"/>
    <x v="2"/>
    <s v="UK"/>
    <x v="0"/>
    <s v="Offline"/>
    <s v="Medium"/>
    <d v="2023-06-08T00:00:00"/>
    <n v="404"/>
    <n v="290.70999999999998"/>
    <n v="29.35"/>
    <n v="117446.84"/>
  </r>
  <r>
    <s v="ORD0160"/>
    <x v="1"/>
    <s v="Germany"/>
    <x v="1"/>
    <s v="Online"/>
    <s v="Low"/>
    <d v="2023-06-09T00:00:00"/>
    <n v="42"/>
    <n v="177.54"/>
    <n v="170.87"/>
    <n v="7456.6799999999994"/>
  </r>
  <r>
    <s v="ORD0161"/>
    <x v="0"/>
    <s v="USA"/>
    <x v="3"/>
    <s v="Offline"/>
    <s v="Low"/>
    <d v="2023-06-10T00:00:00"/>
    <n v="143"/>
    <n v="83.85"/>
    <n v="34.880000000000003"/>
    <n v="11990.55"/>
  </r>
  <r>
    <s v="ORD0162"/>
    <x v="2"/>
    <s v="USA"/>
    <x v="2"/>
    <s v="Online"/>
    <s v="High"/>
    <d v="2023-06-11T00:00:00"/>
    <n v="376"/>
    <n v="304.45"/>
    <n v="206.83"/>
    <n v="114473.2"/>
  </r>
  <r>
    <s v="ORD0163"/>
    <x v="1"/>
    <s v="Australia"/>
    <x v="4"/>
    <s v="Online"/>
    <s v="High"/>
    <d v="2023-06-12T00:00:00"/>
    <n v="88"/>
    <n v="162.47"/>
    <n v="359.76"/>
    <n v="14297.36"/>
  </r>
  <r>
    <s v="ORD0164"/>
    <x v="1"/>
    <s v="USA"/>
    <x v="0"/>
    <s v="Online"/>
    <s v="Low"/>
    <d v="2023-06-13T00:00:00"/>
    <n v="425"/>
    <n v="433.89"/>
    <n v="313.43"/>
    <n v="184403.25"/>
  </r>
  <r>
    <s v="ORD0165"/>
    <x v="3"/>
    <s v="Australia"/>
    <x v="0"/>
    <s v="Offline"/>
    <s v="High"/>
    <d v="2023-06-14T00:00:00"/>
    <n v="444"/>
    <n v="496.7"/>
    <n v="92.68"/>
    <n v="220534.8"/>
  </r>
  <r>
    <s v="ORD0166"/>
    <x v="2"/>
    <s v="India"/>
    <x v="1"/>
    <s v="Online"/>
    <s v="Medium"/>
    <d v="2023-06-15T00:00:00"/>
    <n v="468"/>
    <n v="377.45"/>
    <n v="390.44"/>
    <n v="176646.6"/>
  </r>
  <r>
    <s v="ORD0167"/>
    <x v="1"/>
    <s v="Germany"/>
    <x v="3"/>
    <s v="Online"/>
    <s v="Medium"/>
    <d v="2023-06-16T00:00:00"/>
    <n v="67"/>
    <n v="49.79"/>
    <n v="267.61"/>
    <n v="3335.93"/>
  </r>
  <r>
    <s v="ORD0168"/>
    <x v="0"/>
    <s v="Australia"/>
    <x v="4"/>
    <s v="Offline"/>
    <s v="High"/>
    <d v="2023-06-17T00:00:00"/>
    <n v="480"/>
    <n v="147.9"/>
    <n v="6.15"/>
    <n v="70992"/>
  </r>
  <r>
    <s v="ORD0169"/>
    <x v="0"/>
    <s v="India"/>
    <x v="3"/>
    <s v="Offline"/>
    <s v="Medium"/>
    <d v="2023-06-18T00:00:00"/>
    <n v="35"/>
    <n v="59.01"/>
    <n v="103.65"/>
    <n v="2065.35"/>
  </r>
  <r>
    <s v="ORD0170"/>
    <x v="3"/>
    <s v="USA"/>
    <x v="4"/>
    <s v="Offline"/>
    <s v="High"/>
    <d v="2023-06-19T00:00:00"/>
    <n v="491"/>
    <n v="327"/>
    <n v="105.76"/>
    <n v="160557"/>
  </r>
  <r>
    <s v="ORD0171"/>
    <x v="1"/>
    <s v="USA"/>
    <x v="1"/>
    <s v="Offline"/>
    <s v="Low"/>
    <d v="2023-06-20T00:00:00"/>
    <n v="439"/>
    <n v="383.77"/>
    <n v="29.56"/>
    <n v="168475.03"/>
  </r>
  <r>
    <s v="ORD0172"/>
    <x v="2"/>
    <s v="India"/>
    <x v="1"/>
    <s v="Online"/>
    <s v="Low"/>
    <d v="2023-06-21T00:00:00"/>
    <n v="235"/>
    <n v="463.21"/>
    <n v="384.01"/>
    <n v="108854.34999999999"/>
  </r>
  <r>
    <s v="ORD0173"/>
    <x v="0"/>
    <s v="USA"/>
    <x v="0"/>
    <s v="Online"/>
    <s v="Medium"/>
    <d v="2023-06-22T00:00:00"/>
    <n v="294"/>
    <n v="221.9"/>
    <n v="192.35"/>
    <n v="65238.6"/>
  </r>
  <r>
    <s v="ORD0174"/>
    <x v="1"/>
    <s v="India"/>
    <x v="3"/>
    <s v="Online"/>
    <s v="High"/>
    <d v="2023-06-23T00:00:00"/>
    <n v="13"/>
    <n v="451.18"/>
    <n v="358.53"/>
    <n v="5865.34"/>
  </r>
  <r>
    <s v="ORD0175"/>
    <x v="1"/>
    <s v="Australia"/>
    <x v="0"/>
    <s v="Online"/>
    <s v="High"/>
    <d v="2023-06-24T00:00:00"/>
    <n v="474"/>
    <n v="439.56"/>
    <n v="130.24"/>
    <n v="208351.44"/>
  </r>
  <r>
    <s v="ORD0176"/>
    <x v="3"/>
    <s v="Australia"/>
    <x v="3"/>
    <s v="Offline"/>
    <s v="Medium"/>
    <d v="2023-06-25T00:00:00"/>
    <n v="108"/>
    <n v="162.01"/>
    <n v="51.84"/>
    <n v="17497.079999999998"/>
  </r>
  <r>
    <s v="ORD0177"/>
    <x v="0"/>
    <s v="India"/>
    <x v="0"/>
    <s v="Online"/>
    <s v="Low"/>
    <d v="2023-06-26T00:00:00"/>
    <n v="406"/>
    <n v="435.11"/>
    <n v="190.79"/>
    <n v="176654.66"/>
  </r>
  <r>
    <s v="ORD0178"/>
    <x v="0"/>
    <s v="Australia"/>
    <x v="2"/>
    <s v="Online"/>
    <s v="Medium"/>
    <d v="2023-06-27T00:00:00"/>
    <n v="498"/>
    <n v="190.96"/>
    <n v="47.35"/>
    <n v="95098.08"/>
  </r>
  <r>
    <s v="ORD0179"/>
    <x v="2"/>
    <s v="Australia"/>
    <x v="2"/>
    <s v="Offline"/>
    <s v="Low"/>
    <d v="2023-06-28T00:00:00"/>
    <n v="48"/>
    <n v="151.94999999999999"/>
    <n v="195.43"/>
    <n v="7293.5999999999995"/>
  </r>
  <r>
    <s v="ORD0180"/>
    <x v="0"/>
    <s v="Australia"/>
    <x v="2"/>
    <s v="Online"/>
    <s v="High"/>
    <d v="2023-06-29T00:00:00"/>
    <n v="280"/>
    <n v="326.29000000000002"/>
    <n v="368.28"/>
    <n v="91361.200000000012"/>
  </r>
  <r>
    <s v="ORD0181"/>
    <x v="2"/>
    <s v="UK"/>
    <x v="2"/>
    <s v="Online"/>
    <s v="Low"/>
    <d v="2023-06-30T00:00:00"/>
    <n v="384"/>
    <n v="167.55"/>
    <n v="209.27"/>
    <n v="64339.200000000004"/>
  </r>
  <r>
    <s v="ORD0182"/>
    <x v="0"/>
    <s v="Germany"/>
    <x v="4"/>
    <s v="Online"/>
    <s v="Medium"/>
    <d v="2023-07-01T00:00:00"/>
    <n v="294"/>
    <n v="316.95"/>
    <n v="247.37"/>
    <n v="93183.3"/>
  </r>
  <r>
    <s v="ORD0183"/>
    <x v="3"/>
    <s v="USA"/>
    <x v="2"/>
    <s v="Online"/>
    <s v="High"/>
    <d v="2023-07-02T00:00:00"/>
    <n v="166"/>
    <n v="306.87"/>
    <n v="64.34"/>
    <n v="50940.42"/>
  </r>
  <r>
    <s v="ORD0184"/>
    <x v="0"/>
    <s v="UK"/>
    <x v="1"/>
    <s v="Online"/>
    <s v="Medium"/>
    <d v="2023-07-03T00:00:00"/>
    <n v="84"/>
    <n v="283.89999999999998"/>
    <n v="19.41"/>
    <n v="23847.599999999999"/>
  </r>
  <r>
    <s v="ORD0185"/>
    <x v="2"/>
    <s v="Australia"/>
    <x v="1"/>
    <s v="Online"/>
    <s v="Medium"/>
    <d v="2023-07-04T00:00:00"/>
    <n v="381"/>
    <n v="193.31"/>
    <n v="46.1"/>
    <n v="73651.11"/>
  </r>
  <r>
    <s v="ORD0186"/>
    <x v="2"/>
    <s v="India"/>
    <x v="4"/>
    <s v="Offline"/>
    <s v="Low"/>
    <d v="2023-07-05T00:00:00"/>
    <n v="297"/>
    <n v="276.51"/>
    <n v="240.22"/>
    <n v="82123.47"/>
  </r>
  <r>
    <s v="ORD0187"/>
    <x v="3"/>
    <s v="Australia"/>
    <x v="2"/>
    <s v="Offline"/>
    <s v="Medium"/>
    <d v="2023-07-06T00:00:00"/>
    <n v="139"/>
    <n v="300.26"/>
    <n v="39.81"/>
    <n v="41736.14"/>
  </r>
  <r>
    <s v="ORD0188"/>
    <x v="0"/>
    <s v="Germany"/>
    <x v="2"/>
    <s v="Online"/>
    <s v="Low"/>
    <d v="2023-07-07T00:00:00"/>
    <n v="184"/>
    <n v="275.12"/>
    <n v="151.65"/>
    <n v="50622.080000000002"/>
  </r>
  <r>
    <s v="ORD0189"/>
    <x v="0"/>
    <s v="Australia"/>
    <x v="2"/>
    <s v="Online"/>
    <s v="High"/>
    <d v="2023-07-08T00:00:00"/>
    <n v="471"/>
    <n v="224.99"/>
    <n v="220.94"/>
    <n v="105970.29000000001"/>
  </r>
  <r>
    <s v="ORD0190"/>
    <x v="3"/>
    <s v="India"/>
    <x v="0"/>
    <s v="Offline"/>
    <s v="Low"/>
    <d v="2023-07-09T00:00:00"/>
    <n v="93"/>
    <n v="12.26"/>
    <n v="156.68"/>
    <n v="1140.18"/>
  </r>
  <r>
    <s v="ORD0191"/>
    <x v="0"/>
    <s v="Germany"/>
    <x v="3"/>
    <s v="Online"/>
    <s v="High"/>
    <d v="2023-07-10T00:00:00"/>
    <n v="31"/>
    <n v="295.60000000000002"/>
    <n v="67.150000000000006"/>
    <n v="9163.6"/>
  </r>
  <r>
    <s v="ORD0192"/>
    <x v="0"/>
    <s v="Australia"/>
    <x v="0"/>
    <s v="Online"/>
    <s v="Low"/>
    <d v="2023-07-11T00:00:00"/>
    <n v="468"/>
    <n v="88.38"/>
    <n v="110.97"/>
    <n v="41361.839999999997"/>
  </r>
  <r>
    <s v="ORD0193"/>
    <x v="2"/>
    <s v="Germany"/>
    <x v="3"/>
    <s v="Online"/>
    <s v="Medium"/>
    <d v="2023-07-12T00:00:00"/>
    <n v="36"/>
    <n v="323.08"/>
    <n v="371.47"/>
    <n v="11630.88"/>
  </r>
  <r>
    <s v="ORD0194"/>
    <x v="0"/>
    <s v="USA"/>
    <x v="2"/>
    <s v="Offline"/>
    <s v="Low"/>
    <d v="2023-07-13T00:00:00"/>
    <n v="204"/>
    <n v="380.88"/>
    <n v="271.04000000000002"/>
    <n v="77699.520000000004"/>
  </r>
  <r>
    <s v="ORD0195"/>
    <x v="0"/>
    <s v="USA"/>
    <x v="2"/>
    <s v="Online"/>
    <s v="Low"/>
    <d v="2023-07-14T00:00:00"/>
    <n v="346"/>
    <n v="252.72"/>
    <n v="199.43"/>
    <n v="87441.12"/>
  </r>
  <r>
    <s v="ORD0196"/>
    <x v="3"/>
    <s v="Australia"/>
    <x v="0"/>
    <s v="Offline"/>
    <s v="High"/>
    <d v="2023-07-15T00:00:00"/>
    <n v="391"/>
    <n v="273.47000000000003"/>
    <n v="7.06"/>
    <n v="106926.77"/>
  </r>
  <r>
    <s v="ORD0197"/>
    <x v="3"/>
    <s v="Germany"/>
    <x v="0"/>
    <s v="Online"/>
    <s v="Medium"/>
    <d v="2023-07-16T00:00:00"/>
    <n v="245"/>
    <n v="475.98"/>
    <n v="396.98"/>
    <n v="116615.1"/>
  </r>
  <r>
    <s v="ORD0198"/>
    <x v="1"/>
    <s v="India"/>
    <x v="3"/>
    <s v="Offline"/>
    <s v="Low"/>
    <d v="2023-07-17T00:00:00"/>
    <n v="449"/>
    <n v="424.35"/>
    <n v="269.24"/>
    <n v="190533.15000000002"/>
  </r>
  <r>
    <s v="ORD0199"/>
    <x v="2"/>
    <s v="Australia"/>
    <x v="1"/>
    <s v="Offline"/>
    <s v="Medium"/>
    <d v="2023-07-18T00:00:00"/>
    <n v="101"/>
    <n v="457.55"/>
    <n v="128.13999999999999"/>
    <n v="46212.55"/>
  </r>
  <r>
    <s v="ORD0200"/>
    <x v="0"/>
    <s v="USA"/>
    <x v="3"/>
    <s v="Online"/>
    <s v="Low"/>
    <d v="2023-07-19T00:00:00"/>
    <n v="256"/>
    <n v="407.81"/>
    <n v="351.95"/>
    <n v="104399.36"/>
  </r>
  <r>
    <s v="ORD0201"/>
    <x v="0"/>
    <s v="USA"/>
    <x v="0"/>
    <s v="Offline"/>
    <s v="Low"/>
    <d v="2023-07-20T00:00:00"/>
    <n v="30"/>
    <n v="58.91"/>
    <n v="104.86"/>
    <n v="1767.3"/>
  </r>
  <r>
    <s v="ORD0202"/>
    <x v="1"/>
    <s v="Australia"/>
    <x v="0"/>
    <s v="Online"/>
    <s v="Medium"/>
    <d v="2023-07-21T00:00:00"/>
    <n v="312"/>
    <n v="78.75"/>
    <n v="218.52"/>
    <n v="24570"/>
  </r>
  <r>
    <s v="ORD0203"/>
    <x v="0"/>
    <s v="Germany"/>
    <x v="4"/>
    <s v="Offline"/>
    <s v="Low"/>
    <d v="2023-07-22T00:00:00"/>
    <n v="473"/>
    <n v="265.68"/>
    <n v="255.16"/>
    <n v="125666.64"/>
  </r>
  <r>
    <s v="ORD0204"/>
    <x v="2"/>
    <s v="USA"/>
    <x v="0"/>
    <s v="Online"/>
    <s v="Medium"/>
    <d v="2023-07-23T00:00:00"/>
    <n v="366"/>
    <n v="126.8"/>
    <n v="89.98"/>
    <n v="46408.799999999996"/>
  </r>
  <r>
    <s v="ORD0205"/>
    <x v="1"/>
    <s v="Germany"/>
    <x v="4"/>
    <s v="Online"/>
    <s v="Low"/>
    <d v="2023-07-24T00:00:00"/>
    <n v="452"/>
    <n v="240.96"/>
    <n v="391.4"/>
    <n v="108913.92"/>
  </r>
  <r>
    <s v="ORD0206"/>
    <x v="2"/>
    <s v="USA"/>
    <x v="1"/>
    <s v="Offline"/>
    <s v="High"/>
    <d v="2023-07-25T00:00:00"/>
    <n v="93"/>
    <n v="200.21"/>
    <n v="299.77999999999997"/>
    <n v="18619.530000000002"/>
  </r>
  <r>
    <s v="ORD0207"/>
    <x v="1"/>
    <s v="USA"/>
    <x v="3"/>
    <s v="Online"/>
    <s v="Medium"/>
    <d v="2023-07-26T00:00:00"/>
    <n v="271"/>
    <n v="276.95999999999998"/>
    <n v="224.01"/>
    <n v="75056.159999999989"/>
  </r>
  <r>
    <s v="ORD0208"/>
    <x v="1"/>
    <s v="UK"/>
    <x v="3"/>
    <s v="Online"/>
    <s v="Low"/>
    <d v="2023-07-27T00:00:00"/>
    <n v="156"/>
    <n v="374.7"/>
    <n v="73.88"/>
    <n v="58453.2"/>
  </r>
  <r>
    <s v="ORD0209"/>
    <x v="3"/>
    <s v="USA"/>
    <x v="4"/>
    <s v="Offline"/>
    <s v="Low"/>
    <d v="2023-07-28T00:00:00"/>
    <n v="450"/>
    <n v="359.17"/>
    <n v="23.44"/>
    <n v="161626.5"/>
  </r>
  <r>
    <s v="ORD0210"/>
    <x v="2"/>
    <s v="India"/>
    <x v="3"/>
    <s v="Online"/>
    <s v="High"/>
    <d v="2023-07-29T00:00:00"/>
    <n v="462"/>
    <n v="263.01"/>
    <n v="129.38"/>
    <n v="121510.62"/>
  </r>
  <r>
    <s v="ORD0211"/>
    <x v="0"/>
    <s v="Australia"/>
    <x v="0"/>
    <s v="Online"/>
    <s v="Medium"/>
    <d v="2023-07-30T00:00:00"/>
    <n v="396"/>
    <n v="412.08"/>
    <n v="301.77"/>
    <n v="163183.67999999999"/>
  </r>
  <r>
    <s v="ORD0212"/>
    <x v="0"/>
    <s v="Australia"/>
    <x v="2"/>
    <s v="Offline"/>
    <s v="Low"/>
    <d v="2023-07-31T00:00:00"/>
    <n v="266"/>
    <n v="218.28"/>
    <n v="109.19"/>
    <n v="58062.48"/>
  </r>
  <r>
    <s v="ORD0213"/>
    <x v="2"/>
    <s v="Germany"/>
    <x v="4"/>
    <s v="Offline"/>
    <s v="High"/>
    <d v="2023-08-01T00:00:00"/>
    <n v="67"/>
    <n v="448.87"/>
    <n v="216.74"/>
    <n v="30074.29"/>
  </r>
  <r>
    <s v="ORD0214"/>
    <x v="0"/>
    <s v="USA"/>
    <x v="3"/>
    <s v="Online"/>
    <s v="Low"/>
    <d v="2023-08-02T00:00:00"/>
    <n v="389"/>
    <n v="40.28"/>
    <n v="291.72000000000003"/>
    <n v="15668.92"/>
  </r>
  <r>
    <s v="ORD0215"/>
    <x v="0"/>
    <s v="India"/>
    <x v="4"/>
    <s v="Online"/>
    <s v="Medium"/>
    <d v="2023-08-03T00:00:00"/>
    <n v="431"/>
    <n v="477.56"/>
    <n v="44.96"/>
    <n v="205828.36000000002"/>
  </r>
  <r>
    <s v="ORD0216"/>
    <x v="2"/>
    <s v="Germany"/>
    <x v="4"/>
    <s v="Offline"/>
    <s v="Low"/>
    <d v="2023-08-04T00:00:00"/>
    <n v="24"/>
    <n v="329.07"/>
    <n v="274.75"/>
    <n v="7897.68"/>
  </r>
  <r>
    <s v="ORD0217"/>
    <x v="1"/>
    <s v="UK"/>
    <x v="2"/>
    <s v="Offline"/>
    <s v="Low"/>
    <d v="2023-08-05T00:00:00"/>
    <n v="171"/>
    <n v="193.14"/>
    <n v="38.56"/>
    <n v="33026.939999999995"/>
  </r>
  <r>
    <s v="ORD0218"/>
    <x v="2"/>
    <s v="Germany"/>
    <x v="0"/>
    <s v="Online"/>
    <s v="Low"/>
    <d v="2023-08-06T00:00:00"/>
    <n v="454"/>
    <n v="102.59"/>
    <n v="386.12"/>
    <n v="46575.86"/>
  </r>
  <r>
    <s v="ORD0219"/>
    <x v="1"/>
    <s v="Germany"/>
    <x v="4"/>
    <s v="Offline"/>
    <s v="Low"/>
    <d v="2023-08-07T00:00:00"/>
    <n v="172"/>
    <n v="242.2"/>
    <n v="196.38"/>
    <n v="41658.400000000001"/>
  </r>
  <r>
    <s v="ORD0220"/>
    <x v="0"/>
    <s v="USA"/>
    <x v="3"/>
    <s v="Online"/>
    <s v="High"/>
    <d v="2023-08-08T00:00:00"/>
    <n v="329"/>
    <n v="101.31"/>
    <n v="61.97"/>
    <n v="33330.99"/>
  </r>
  <r>
    <s v="ORD0221"/>
    <x v="0"/>
    <s v="UK"/>
    <x v="1"/>
    <s v="Online"/>
    <s v="High"/>
    <d v="2023-08-09T00:00:00"/>
    <n v="290"/>
    <n v="87.33"/>
    <n v="138.27000000000001"/>
    <n v="25325.7"/>
  </r>
  <r>
    <s v="ORD0222"/>
    <x v="1"/>
    <s v="Germany"/>
    <x v="4"/>
    <s v="Online"/>
    <s v="Medium"/>
    <d v="2023-08-10T00:00:00"/>
    <n v="289"/>
    <n v="310.58999999999997"/>
    <n v="166.54"/>
    <n v="89760.51"/>
  </r>
  <r>
    <s v="ORD0223"/>
    <x v="3"/>
    <s v="India"/>
    <x v="4"/>
    <s v="Online"/>
    <s v="High"/>
    <d v="2023-08-11T00:00:00"/>
    <n v="21"/>
    <n v="263.93"/>
    <n v="303.76"/>
    <n v="5542.53"/>
  </r>
  <r>
    <s v="ORD0224"/>
    <x v="1"/>
    <s v="India"/>
    <x v="2"/>
    <s v="Online"/>
    <s v="High"/>
    <d v="2023-08-12T00:00:00"/>
    <n v="283"/>
    <n v="336.7"/>
    <n v="297.88"/>
    <n v="95286.099999999991"/>
  </r>
  <r>
    <s v="ORD0225"/>
    <x v="3"/>
    <s v="Australia"/>
    <x v="0"/>
    <s v="Offline"/>
    <s v="Medium"/>
    <d v="2023-08-13T00:00:00"/>
    <n v="280"/>
    <n v="465.15"/>
    <n v="245.55"/>
    <n v="130242"/>
  </r>
  <r>
    <s v="ORD0226"/>
    <x v="3"/>
    <s v="UK"/>
    <x v="1"/>
    <s v="Offline"/>
    <s v="High"/>
    <d v="2023-08-14T00:00:00"/>
    <n v="217"/>
    <n v="268.47000000000003"/>
    <n v="44.16"/>
    <n v="58257.990000000005"/>
  </r>
  <r>
    <s v="ORD0227"/>
    <x v="2"/>
    <s v="UK"/>
    <x v="3"/>
    <s v="Offline"/>
    <s v="High"/>
    <d v="2023-08-15T00:00:00"/>
    <n v="36"/>
    <n v="292.56"/>
    <n v="62.32"/>
    <n v="10532.16"/>
  </r>
  <r>
    <s v="ORD0228"/>
    <x v="3"/>
    <s v="Australia"/>
    <x v="1"/>
    <s v="Offline"/>
    <s v="Medium"/>
    <d v="2023-08-16T00:00:00"/>
    <n v="256"/>
    <n v="49.37"/>
    <n v="39.32"/>
    <n v="12638.72"/>
  </r>
  <r>
    <s v="ORD0229"/>
    <x v="2"/>
    <s v="Germany"/>
    <x v="3"/>
    <s v="Online"/>
    <s v="Medium"/>
    <d v="2023-08-17T00:00:00"/>
    <n v="69"/>
    <n v="360.23"/>
    <n v="231.71"/>
    <n v="24855.870000000003"/>
  </r>
  <r>
    <s v="ORD0230"/>
    <x v="2"/>
    <s v="UK"/>
    <x v="0"/>
    <s v="Online"/>
    <s v="Medium"/>
    <d v="2023-08-18T00:00:00"/>
    <n v="439"/>
    <n v="202.95"/>
    <n v="351.1"/>
    <n v="89095.049999999988"/>
  </r>
  <r>
    <s v="ORD0231"/>
    <x v="3"/>
    <s v="India"/>
    <x v="3"/>
    <s v="Online"/>
    <s v="Low"/>
    <d v="2023-08-19T00:00:00"/>
    <n v="482"/>
    <n v="488.48"/>
    <n v="174.65"/>
    <n v="235447.36000000002"/>
  </r>
  <r>
    <s v="ORD0232"/>
    <x v="1"/>
    <s v="India"/>
    <x v="2"/>
    <s v="Online"/>
    <s v="Low"/>
    <d v="2023-08-20T00:00:00"/>
    <n v="154"/>
    <n v="412.47"/>
    <n v="66.02"/>
    <n v="63520.380000000005"/>
  </r>
  <r>
    <s v="ORD0233"/>
    <x v="1"/>
    <s v="USA"/>
    <x v="2"/>
    <s v="Offline"/>
    <s v="Medium"/>
    <d v="2023-08-21T00:00:00"/>
    <n v="102"/>
    <n v="263.63"/>
    <n v="224.1"/>
    <n v="26890.26"/>
  </r>
  <r>
    <s v="ORD0234"/>
    <x v="1"/>
    <s v="UK"/>
    <x v="2"/>
    <s v="Online"/>
    <s v="Medium"/>
    <d v="2023-08-22T00:00:00"/>
    <n v="318"/>
    <n v="66"/>
    <n v="325.08"/>
    <n v="20988"/>
  </r>
  <r>
    <s v="ORD0235"/>
    <x v="1"/>
    <s v="Germany"/>
    <x v="2"/>
    <s v="Online"/>
    <s v="Medium"/>
    <d v="2023-08-23T00:00:00"/>
    <n v="17"/>
    <n v="430.41"/>
    <n v="297.2"/>
    <n v="7316.97"/>
  </r>
  <r>
    <s v="ORD0236"/>
    <x v="1"/>
    <s v="Australia"/>
    <x v="1"/>
    <s v="Offline"/>
    <s v="Low"/>
    <d v="2023-08-24T00:00:00"/>
    <n v="88"/>
    <n v="400.89"/>
    <n v="352.82"/>
    <n v="35278.32"/>
  </r>
  <r>
    <s v="ORD0237"/>
    <x v="3"/>
    <s v="Australia"/>
    <x v="0"/>
    <s v="Offline"/>
    <s v="Low"/>
    <d v="2023-08-25T00:00:00"/>
    <n v="36"/>
    <n v="96.37"/>
    <n v="112.61"/>
    <n v="3469.32"/>
  </r>
  <r>
    <s v="ORD0238"/>
    <x v="3"/>
    <s v="Germany"/>
    <x v="3"/>
    <s v="Offline"/>
    <s v="High"/>
    <d v="2023-08-26T00:00:00"/>
    <n v="183"/>
    <n v="151.16"/>
    <n v="79.19"/>
    <n v="27662.28"/>
  </r>
  <r>
    <s v="ORD0239"/>
    <x v="0"/>
    <s v="USA"/>
    <x v="3"/>
    <s v="Offline"/>
    <s v="High"/>
    <d v="2023-08-27T00:00:00"/>
    <n v="59"/>
    <n v="397.74"/>
    <n v="352.17"/>
    <n v="23466.66"/>
  </r>
  <r>
    <s v="ORD0240"/>
    <x v="1"/>
    <s v="Australia"/>
    <x v="2"/>
    <s v="Online"/>
    <s v="Medium"/>
    <d v="2023-08-28T00:00:00"/>
    <n v="208"/>
    <n v="96.69"/>
    <n v="263.70999999999998"/>
    <n v="20111.52"/>
  </r>
  <r>
    <s v="ORD0241"/>
    <x v="3"/>
    <s v="UK"/>
    <x v="2"/>
    <s v="Online"/>
    <s v="Low"/>
    <d v="2023-08-29T00:00:00"/>
    <n v="396"/>
    <n v="459.29"/>
    <n v="125.75"/>
    <n v="181878.84"/>
  </r>
  <r>
    <s v="ORD0242"/>
    <x v="0"/>
    <s v="USA"/>
    <x v="4"/>
    <s v="Offline"/>
    <s v="Low"/>
    <d v="2023-08-30T00:00:00"/>
    <n v="358"/>
    <n v="215.14"/>
    <n v="297.45"/>
    <n v="77020.12"/>
  </r>
  <r>
    <s v="ORD0243"/>
    <x v="1"/>
    <s v="UK"/>
    <x v="0"/>
    <s v="Online"/>
    <s v="Low"/>
    <d v="2023-08-31T00:00:00"/>
    <n v="457"/>
    <n v="48.08"/>
    <n v="326.42"/>
    <n v="21972.559999999998"/>
  </r>
  <r>
    <s v="ORD0244"/>
    <x v="2"/>
    <s v="India"/>
    <x v="1"/>
    <s v="Online"/>
    <s v="Medium"/>
    <d v="2023-09-01T00:00:00"/>
    <n v="437"/>
    <n v="408.8"/>
    <n v="246.76"/>
    <n v="178645.6"/>
  </r>
  <r>
    <s v="ORD0245"/>
    <x v="0"/>
    <s v="USA"/>
    <x v="3"/>
    <s v="Online"/>
    <s v="High"/>
    <d v="2023-09-02T00:00:00"/>
    <n v="190"/>
    <n v="189.89"/>
    <n v="275.77999999999997"/>
    <n v="36079.1"/>
  </r>
  <r>
    <s v="ORD0246"/>
    <x v="3"/>
    <s v="Australia"/>
    <x v="4"/>
    <s v="Offline"/>
    <s v="Medium"/>
    <d v="2023-09-03T00:00:00"/>
    <n v="33"/>
    <n v="265.62"/>
    <n v="151.35"/>
    <n v="8765.4600000000009"/>
  </r>
  <r>
    <s v="ORD0247"/>
    <x v="2"/>
    <s v="USA"/>
    <x v="4"/>
    <s v="Online"/>
    <s v="High"/>
    <d v="2023-09-04T00:00:00"/>
    <n v="325"/>
    <n v="60.59"/>
    <n v="216.4"/>
    <n v="19691.75"/>
  </r>
  <r>
    <s v="ORD0248"/>
    <x v="2"/>
    <s v="USA"/>
    <x v="3"/>
    <s v="Offline"/>
    <s v="High"/>
    <d v="2023-09-05T00:00:00"/>
    <n v="387"/>
    <n v="6.28"/>
    <n v="210.62"/>
    <n v="2430.36"/>
  </r>
  <r>
    <s v="ORD0249"/>
    <x v="2"/>
    <s v="USA"/>
    <x v="1"/>
    <s v="Online"/>
    <s v="Medium"/>
    <d v="2023-09-06T00:00:00"/>
    <n v="396"/>
    <n v="320.8"/>
    <n v="339.52"/>
    <n v="127036.8"/>
  </r>
  <r>
    <s v="ORD0250"/>
    <x v="0"/>
    <s v="USA"/>
    <x v="4"/>
    <s v="Online"/>
    <s v="High"/>
    <d v="2023-09-07T00:00:00"/>
    <n v="413"/>
    <n v="260.01"/>
    <n v="336.31"/>
    <n v="107384.12999999999"/>
  </r>
  <r>
    <s v="ORD0251"/>
    <x v="3"/>
    <s v="UK"/>
    <x v="4"/>
    <s v="Online"/>
    <s v="High"/>
    <d v="2023-09-08T00:00:00"/>
    <n v="256"/>
    <n v="298.8"/>
    <n v="333.41"/>
    <n v="76492.800000000003"/>
  </r>
  <r>
    <s v="ORD0252"/>
    <x v="2"/>
    <s v="India"/>
    <x v="0"/>
    <s v="Offline"/>
    <s v="Low"/>
    <d v="2023-09-09T00:00:00"/>
    <n v="24"/>
    <n v="397.9"/>
    <n v="6.39"/>
    <n v="9549.5999999999985"/>
  </r>
  <r>
    <s v="ORD0253"/>
    <x v="1"/>
    <s v="Germany"/>
    <x v="0"/>
    <s v="Online"/>
    <s v="High"/>
    <d v="2023-09-10T00:00:00"/>
    <n v="162"/>
    <n v="325.07"/>
    <n v="300.32"/>
    <n v="52661.34"/>
  </r>
  <r>
    <s v="ORD0254"/>
    <x v="2"/>
    <s v="USA"/>
    <x v="4"/>
    <s v="Offline"/>
    <s v="Medium"/>
    <d v="2023-09-11T00:00:00"/>
    <n v="231"/>
    <n v="91.51"/>
    <n v="303.95"/>
    <n v="21138.81"/>
  </r>
  <r>
    <s v="ORD0255"/>
    <x v="2"/>
    <s v="Australia"/>
    <x v="1"/>
    <s v="Offline"/>
    <s v="Medium"/>
    <d v="2023-09-12T00:00:00"/>
    <n v="215"/>
    <n v="183.58"/>
    <n v="271.99"/>
    <n v="39469.700000000004"/>
  </r>
  <r>
    <s v="ORD0256"/>
    <x v="0"/>
    <s v="USA"/>
    <x v="3"/>
    <s v="Offline"/>
    <s v="High"/>
    <d v="2023-09-13T00:00:00"/>
    <n v="464"/>
    <n v="453.42"/>
    <n v="302.99"/>
    <n v="210386.88"/>
  </r>
  <r>
    <s v="ORD0257"/>
    <x v="0"/>
    <s v="Australia"/>
    <x v="2"/>
    <s v="Online"/>
    <s v="Low"/>
    <d v="2023-09-14T00:00:00"/>
    <n v="282"/>
    <n v="249.65"/>
    <n v="337.1"/>
    <n v="70401.3"/>
  </r>
  <r>
    <s v="ORD0258"/>
    <x v="3"/>
    <s v="UK"/>
    <x v="4"/>
    <s v="Online"/>
    <s v="Low"/>
    <d v="2023-09-15T00:00:00"/>
    <n v="391"/>
    <n v="280.54000000000002"/>
    <n v="189.19"/>
    <n v="109691.14000000001"/>
  </r>
  <r>
    <s v="ORD0259"/>
    <x v="1"/>
    <s v="Australia"/>
    <x v="0"/>
    <s v="Online"/>
    <s v="High"/>
    <d v="2023-09-16T00:00:00"/>
    <n v="245"/>
    <n v="131.54"/>
    <n v="201.82"/>
    <n v="32227.3"/>
  </r>
  <r>
    <s v="ORD0260"/>
    <x v="0"/>
    <s v="Germany"/>
    <x v="3"/>
    <s v="Online"/>
    <s v="High"/>
    <d v="2023-09-17T00:00:00"/>
    <n v="349"/>
    <n v="154.52000000000001"/>
    <n v="51.64"/>
    <n v="53927.48"/>
  </r>
  <r>
    <s v="ORD0261"/>
    <x v="2"/>
    <s v="India"/>
    <x v="1"/>
    <s v="Offline"/>
    <s v="Medium"/>
    <d v="2023-09-18T00:00:00"/>
    <n v="237"/>
    <n v="249.65"/>
    <n v="155.38"/>
    <n v="59167.05"/>
  </r>
  <r>
    <s v="ORD0262"/>
    <x v="3"/>
    <s v="Australia"/>
    <x v="3"/>
    <s v="Offline"/>
    <s v="High"/>
    <d v="2023-09-19T00:00:00"/>
    <n v="18"/>
    <n v="426.33"/>
    <n v="258.06"/>
    <n v="7673.94"/>
  </r>
  <r>
    <s v="ORD0263"/>
    <x v="2"/>
    <s v="Australia"/>
    <x v="4"/>
    <s v="Offline"/>
    <s v="Low"/>
    <d v="2023-09-20T00:00:00"/>
    <n v="175"/>
    <n v="337.36"/>
    <n v="312.60000000000002"/>
    <n v="59038"/>
  </r>
  <r>
    <s v="ORD0264"/>
    <x v="2"/>
    <s v="India"/>
    <x v="0"/>
    <s v="Online"/>
    <s v="High"/>
    <d v="2023-09-21T00:00:00"/>
    <n v="441"/>
    <n v="405.72"/>
    <n v="88.45"/>
    <n v="178922.52000000002"/>
  </r>
  <r>
    <s v="ORD0265"/>
    <x v="0"/>
    <s v="Germany"/>
    <x v="2"/>
    <s v="Offline"/>
    <s v="Medium"/>
    <d v="2023-09-22T00:00:00"/>
    <n v="453"/>
    <n v="384.49"/>
    <n v="56.85"/>
    <n v="174173.97"/>
  </r>
  <r>
    <s v="ORD0266"/>
    <x v="3"/>
    <s v="USA"/>
    <x v="3"/>
    <s v="Online"/>
    <s v="Medium"/>
    <d v="2023-09-23T00:00:00"/>
    <n v="328"/>
    <n v="79.099999999999994"/>
    <n v="265.89"/>
    <n v="25944.799999999999"/>
  </r>
  <r>
    <s v="ORD0267"/>
    <x v="1"/>
    <s v="Australia"/>
    <x v="4"/>
    <s v="Offline"/>
    <s v="Medium"/>
    <d v="2023-09-24T00:00:00"/>
    <n v="223"/>
    <n v="214.85"/>
    <n v="2.75"/>
    <n v="47911.549999999996"/>
  </r>
  <r>
    <s v="ORD0268"/>
    <x v="1"/>
    <s v="India"/>
    <x v="0"/>
    <s v="Online"/>
    <s v="Medium"/>
    <d v="2023-09-25T00:00:00"/>
    <n v="126"/>
    <n v="80.73"/>
    <n v="72.989999999999995"/>
    <n v="10171.980000000001"/>
  </r>
  <r>
    <s v="ORD0269"/>
    <x v="0"/>
    <s v="UK"/>
    <x v="1"/>
    <s v="Online"/>
    <s v="Medium"/>
    <d v="2023-09-26T00:00:00"/>
    <n v="395"/>
    <n v="121.44"/>
    <n v="13.57"/>
    <n v="47968.799999999996"/>
  </r>
  <r>
    <s v="ORD0270"/>
    <x v="0"/>
    <s v="India"/>
    <x v="3"/>
    <s v="Offline"/>
    <s v="High"/>
    <d v="2023-09-27T00:00:00"/>
    <n v="353"/>
    <n v="435.28"/>
    <n v="68.42"/>
    <n v="153653.84"/>
  </r>
  <r>
    <s v="ORD0271"/>
    <x v="3"/>
    <s v="UK"/>
    <x v="3"/>
    <s v="Offline"/>
    <s v="High"/>
    <d v="2023-09-28T00:00:00"/>
    <n v="81"/>
    <n v="239.08"/>
    <n v="74.17"/>
    <n v="19365.48"/>
  </r>
  <r>
    <s v="ORD0272"/>
    <x v="1"/>
    <s v="Germany"/>
    <x v="2"/>
    <s v="Offline"/>
    <s v="High"/>
    <d v="2023-09-29T00:00:00"/>
    <n v="404"/>
    <n v="270"/>
    <n v="156.29"/>
    <n v="109080"/>
  </r>
  <r>
    <s v="ORD0273"/>
    <x v="1"/>
    <s v="USA"/>
    <x v="2"/>
    <s v="Offline"/>
    <s v="High"/>
    <d v="2023-09-30T00:00:00"/>
    <n v="73"/>
    <n v="93.33"/>
    <n v="162.13"/>
    <n v="6813.09"/>
  </r>
  <r>
    <s v="ORD0274"/>
    <x v="1"/>
    <s v="India"/>
    <x v="0"/>
    <s v="Online"/>
    <s v="Medium"/>
    <d v="2023-10-01T00:00:00"/>
    <n v="214"/>
    <n v="159.57"/>
    <n v="349.96"/>
    <n v="34147.979999999996"/>
  </r>
  <r>
    <s v="ORD0275"/>
    <x v="2"/>
    <s v="Australia"/>
    <x v="0"/>
    <s v="Offline"/>
    <s v="Low"/>
    <d v="2023-10-02T00:00:00"/>
    <n v="218"/>
    <n v="118.97"/>
    <n v="205.02"/>
    <n v="25935.46"/>
  </r>
  <r>
    <s v="ORD0276"/>
    <x v="1"/>
    <s v="Germany"/>
    <x v="4"/>
    <s v="Offline"/>
    <s v="High"/>
    <d v="2023-10-03T00:00:00"/>
    <n v="81"/>
    <n v="107.06"/>
    <n v="289.92"/>
    <n v="8671.86"/>
  </r>
  <r>
    <s v="ORD0277"/>
    <x v="2"/>
    <s v="India"/>
    <x v="4"/>
    <s v="Offline"/>
    <s v="Low"/>
    <d v="2023-10-04T00:00:00"/>
    <n v="286"/>
    <n v="320.79000000000002"/>
    <n v="43.45"/>
    <n v="91745.94"/>
  </r>
  <r>
    <s v="ORD0278"/>
    <x v="3"/>
    <s v="Australia"/>
    <x v="0"/>
    <s v="Online"/>
    <s v="High"/>
    <d v="2023-10-05T00:00:00"/>
    <n v="283"/>
    <n v="132.16"/>
    <n v="91.72"/>
    <n v="37401.279999999999"/>
  </r>
  <r>
    <s v="ORD0279"/>
    <x v="2"/>
    <s v="India"/>
    <x v="0"/>
    <s v="Online"/>
    <s v="High"/>
    <d v="2023-10-06T00:00:00"/>
    <n v="487"/>
    <n v="317.85000000000002"/>
    <n v="281.77"/>
    <n v="154792.95000000001"/>
  </r>
  <r>
    <s v="ORD0280"/>
    <x v="3"/>
    <s v="UK"/>
    <x v="1"/>
    <s v="Offline"/>
    <s v="Low"/>
    <d v="2023-10-07T00:00:00"/>
    <n v="329"/>
    <n v="33.94"/>
    <n v="23.02"/>
    <n v="11166.259999999998"/>
  </r>
  <r>
    <s v="ORD0281"/>
    <x v="1"/>
    <s v="India"/>
    <x v="2"/>
    <s v="Online"/>
    <s v="Medium"/>
    <d v="2023-10-08T00:00:00"/>
    <n v="347"/>
    <n v="75.180000000000007"/>
    <n v="195.67"/>
    <n v="26087.460000000003"/>
  </r>
  <r>
    <s v="ORD0282"/>
    <x v="1"/>
    <s v="India"/>
    <x v="4"/>
    <s v="Offline"/>
    <s v="High"/>
    <d v="2023-10-09T00:00:00"/>
    <n v="375"/>
    <n v="140.9"/>
    <n v="240.55"/>
    <n v="52837.5"/>
  </r>
  <r>
    <s v="ORD0283"/>
    <x v="3"/>
    <s v="India"/>
    <x v="2"/>
    <s v="Online"/>
    <s v="High"/>
    <d v="2023-10-10T00:00:00"/>
    <n v="104"/>
    <n v="300.54000000000002"/>
    <n v="241.65"/>
    <n v="31256.160000000003"/>
  </r>
  <r>
    <s v="ORD0284"/>
    <x v="0"/>
    <s v="Germany"/>
    <x v="0"/>
    <s v="Online"/>
    <s v="High"/>
    <d v="2023-10-11T00:00:00"/>
    <n v="175"/>
    <n v="339.54"/>
    <n v="11.13"/>
    <n v="59419.5"/>
  </r>
  <r>
    <s v="ORD0285"/>
    <x v="3"/>
    <s v="India"/>
    <x v="0"/>
    <s v="Online"/>
    <s v="Low"/>
    <d v="2023-10-12T00:00:00"/>
    <n v="41"/>
    <n v="224.14"/>
    <n v="130.19999999999999"/>
    <n v="9189.74"/>
  </r>
  <r>
    <s v="ORD0286"/>
    <x v="0"/>
    <s v="Australia"/>
    <x v="1"/>
    <s v="Online"/>
    <s v="Medium"/>
    <d v="2023-10-13T00:00:00"/>
    <n v="20"/>
    <n v="225.67"/>
    <n v="255.32"/>
    <n v="4513.3999999999996"/>
  </r>
  <r>
    <s v="ORD0287"/>
    <x v="2"/>
    <s v="UK"/>
    <x v="3"/>
    <s v="Offline"/>
    <s v="Low"/>
    <d v="2023-10-14T00:00:00"/>
    <n v="310"/>
    <n v="363.64"/>
    <n v="61.3"/>
    <n v="112728.4"/>
  </r>
  <r>
    <s v="ORD0288"/>
    <x v="2"/>
    <s v="UK"/>
    <x v="1"/>
    <s v="Offline"/>
    <s v="Low"/>
    <d v="2023-10-15T00:00:00"/>
    <n v="226"/>
    <n v="249.65"/>
    <n v="278.77999999999997"/>
    <n v="56420.9"/>
  </r>
  <r>
    <s v="ORD0289"/>
    <x v="2"/>
    <s v="India"/>
    <x v="1"/>
    <s v="Offline"/>
    <s v="Medium"/>
    <d v="2023-10-16T00:00:00"/>
    <n v="256"/>
    <n v="173.84"/>
    <n v="298.88"/>
    <n v="44503.040000000001"/>
  </r>
  <r>
    <s v="ORD0290"/>
    <x v="1"/>
    <s v="Germany"/>
    <x v="2"/>
    <s v="Online"/>
    <s v="Low"/>
    <d v="2023-10-17T00:00:00"/>
    <n v="111"/>
    <n v="410.26"/>
    <n v="392.82"/>
    <n v="45538.86"/>
  </r>
  <r>
    <s v="ORD0291"/>
    <x v="2"/>
    <s v="Germany"/>
    <x v="1"/>
    <s v="Offline"/>
    <s v="Medium"/>
    <d v="2023-10-18T00:00:00"/>
    <n v="434"/>
    <n v="303.58999999999997"/>
    <n v="85.52"/>
    <n v="131758.06"/>
  </r>
  <r>
    <s v="ORD0292"/>
    <x v="0"/>
    <s v="Australia"/>
    <x v="4"/>
    <s v="Offline"/>
    <s v="High"/>
    <d v="2023-10-19T00:00:00"/>
    <n v="401"/>
    <n v="171.93"/>
    <n v="330.4"/>
    <n v="68943.930000000008"/>
  </r>
  <r>
    <s v="ORD0293"/>
    <x v="2"/>
    <s v="India"/>
    <x v="2"/>
    <s v="Offline"/>
    <s v="Medium"/>
    <d v="2023-10-20T00:00:00"/>
    <n v="276"/>
    <n v="453.23"/>
    <n v="209.08"/>
    <n v="125091.48000000001"/>
  </r>
  <r>
    <s v="ORD0294"/>
    <x v="3"/>
    <s v="UK"/>
    <x v="4"/>
    <s v="Online"/>
    <s v="High"/>
    <d v="2023-10-21T00:00:00"/>
    <n v="256"/>
    <n v="387.45"/>
    <n v="150.63999999999999"/>
    <n v="99187.199999999997"/>
  </r>
  <r>
    <s v="ORD0295"/>
    <x v="3"/>
    <s v="Germany"/>
    <x v="3"/>
    <s v="Online"/>
    <s v="Low"/>
    <d v="2023-10-22T00:00:00"/>
    <n v="188"/>
    <n v="136.12"/>
    <n v="50.71"/>
    <n v="25590.560000000001"/>
  </r>
  <r>
    <s v="ORD0296"/>
    <x v="1"/>
    <s v="India"/>
    <x v="2"/>
    <s v="Online"/>
    <s v="Low"/>
    <d v="2023-10-23T00:00:00"/>
    <n v="97"/>
    <n v="324.42"/>
    <n v="294.73"/>
    <n v="31468.74"/>
  </r>
  <r>
    <s v="ORD0297"/>
    <x v="3"/>
    <s v="Germany"/>
    <x v="3"/>
    <s v="Offline"/>
    <s v="High"/>
    <d v="2023-10-24T00:00:00"/>
    <n v="50"/>
    <n v="299.89999999999998"/>
    <n v="95.87"/>
    <n v="14994.999999999998"/>
  </r>
  <r>
    <s v="ORD0298"/>
    <x v="0"/>
    <s v="Germany"/>
    <x v="2"/>
    <s v="Offline"/>
    <s v="Low"/>
    <d v="2023-10-25T00:00:00"/>
    <n v="410"/>
    <n v="203.59"/>
    <n v="149.83000000000001"/>
    <n v="83471.899999999994"/>
  </r>
  <r>
    <s v="ORD0299"/>
    <x v="2"/>
    <s v="UK"/>
    <x v="0"/>
    <s v="Offline"/>
    <s v="Medium"/>
    <d v="2023-10-26T00:00:00"/>
    <n v="85"/>
    <n v="186.64"/>
    <n v="26.89"/>
    <n v="15864.4"/>
  </r>
  <r>
    <s v="ORD0300"/>
    <x v="1"/>
    <s v="USA"/>
    <x v="1"/>
    <s v="Online"/>
    <s v="High"/>
    <d v="2023-10-27T00:00:00"/>
    <n v="386"/>
    <n v="175.06"/>
    <n v="320.94"/>
    <n v="67573.16"/>
  </r>
  <r>
    <s v="ORD0301"/>
    <x v="2"/>
    <s v="Australia"/>
    <x v="0"/>
    <s v="Online"/>
    <s v="Low"/>
    <d v="2023-10-28T00:00:00"/>
    <n v="55"/>
    <n v="310.49"/>
    <n v="307.10000000000002"/>
    <n v="17076.95"/>
  </r>
  <r>
    <s v="ORD0302"/>
    <x v="2"/>
    <s v="Australia"/>
    <x v="3"/>
    <s v="Offline"/>
    <s v="High"/>
    <d v="2023-10-29T00:00:00"/>
    <n v="169"/>
    <n v="223.99"/>
    <n v="293.98"/>
    <n v="37854.310000000005"/>
  </r>
  <r>
    <s v="ORD0303"/>
    <x v="0"/>
    <s v="UK"/>
    <x v="1"/>
    <s v="Online"/>
    <s v="Medium"/>
    <d v="2023-10-30T00:00:00"/>
    <n v="472"/>
    <n v="416.77"/>
    <n v="121.18"/>
    <n v="196715.44"/>
  </r>
  <r>
    <s v="ORD0304"/>
    <x v="3"/>
    <s v="Germany"/>
    <x v="2"/>
    <s v="Online"/>
    <s v="Medium"/>
    <d v="2023-10-31T00:00:00"/>
    <n v="89"/>
    <n v="336.45"/>
    <n v="71.05"/>
    <n v="29944.05"/>
  </r>
  <r>
    <s v="ORD0305"/>
    <x v="3"/>
    <s v="India"/>
    <x v="1"/>
    <s v="Online"/>
    <s v="Low"/>
    <d v="2023-11-01T00:00:00"/>
    <n v="319"/>
    <n v="39.619999999999997"/>
    <n v="255.75"/>
    <n v="12638.779999999999"/>
  </r>
  <r>
    <s v="ORD0306"/>
    <x v="2"/>
    <s v="Germany"/>
    <x v="0"/>
    <s v="Online"/>
    <s v="Medium"/>
    <d v="2023-11-02T00:00:00"/>
    <n v="95"/>
    <n v="321.88"/>
    <n v="199.47"/>
    <n v="30578.6"/>
  </r>
  <r>
    <s v="ORD0307"/>
    <x v="1"/>
    <s v="UK"/>
    <x v="0"/>
    <s v="Offline"/>
    <s v="High"/>
    <d v="2023-11-03T00:00:00"/>
    <n v="101"/>
    <n v="139.22"/>
    <n v="72.94"/>
    <n v="14061.22"/>
  </r>
  <r>
    <s v="ORD0308"/>
    <x v="3"/>
    <s v="Australia"/>
    <x v="0"/>
    <s v="Online"/>
    <s v="Medium"/>
    <d v="2023-11-04T00:00:00"/>
    <n v="157"/>
    <n v="249.65"/>
    <n v="274.99"/>
    <n v="39195.050000000003"/>
  </r>
  <r>
    <s v="ORD0309"/>
    <x v="1"/>
    <s v="Germany"/>
    <x v="1"/>
    <s v="Online"/>
    <s v="High"/>
    <d v="2023-11-05T00:00:00"/>
    <n v="170"/>
    <n v="341.67"/>
    <n v="396.47"/>
    <n v="58083.9"/>
  </r>
  <r>
    <s v="ORD0310"/>
    <x v="3"/>
    <s v="Australia"/>
    <x v="4"/>
    <s v="Online"/>
    <s v="High"/>
    <d v="2023-11-06T00:00:00"/>
    <n v="211"/>
    <n v="119.26"/>
    <n v="299.39"/>
    <n v="25163.86"/>
  </r>
  <r>
    <s v="ORD0311"/>
    <x v="1"/>
    <s v="India"/>
    <x v="3"/>
    <s v="Online"/>
    <s v="Medium"/>
    <d v="2023-11-07T00:00:00"/>
    <n v="433"/>
    <n v="231.15"/>
    <n v="296.51"/>
    <n v="100087.95"/>
  </r>
  <r>
    <s v="ORD0312"/>
    <x v="0"/>
    <s v="Australia"/>
    <x v="0"/>
    <s v="Offline"/>
    <s v="Low"/>
    <d v="2023-11-08T00:00:00"/>
    <n v="425"/>
    <n v="99.21"/>
    <n v="380.22"/>
    <n v="42164.25"/>
  </r>
  <r>
    <s v="ORD0313"/>
    <x v="1"/>
    <s v="Australia"/>
    <x v="2"/>
    <s v="Offline"/>
    <s v="Medium"/>
    <d v="2023-11-09T00:00:00"/>
    <n v="251"/>
    <n v="30.91"/>
    <n v="82.77"/>
    <n v="7758.41"/>
  </r>
  <r>
    <s v="ORD0314"/>
    <x v="0"/>
    <s v="USA"/>
    <x v="1"/>
    <s v="Online"/>
    <s v="High"/>
    <d v="2023-11-10T00:00:00"/>
    <n v="256"/>
    <n v="192.35"/>
    <n v="227.09"/>
    <n v="49241.599999999999"/>
  </r>
  <r>
    <s v="ORD0315"/>
    <x v="0"/>
    <s v="USA"/>
    <x v="0"/>
    <s v="Online"/>
    <s v="High"/>
    <d v="2023-11-11T00:00:00"/>
    <n v="11"/>
    <n v="184.66"/>
    <n v="391.9"/>
    <n v="2031.26"/>
  </r>
  <r>
    <s v="ORD0316"/>
    <x v="1"/>
    <s v="USA"/>
    <x v="2"/>
    <s v="Online"/>
    <s v="Medium"/>
    <d v="2023-11-12T00:00:00"/>
    <n v="234"/>
    <n v="497.76"/>
    <n v="67.790000000000006"/>
    <n v="116475.84"/>
  </r>
  <r>
    <s v="ORD0317"/>
    <x v="0"/>
    <s v="Australia"/>
    <x v="2"/>
    <s v="Online"/>
    <s v="Low"/>
    <d v="2023-11-13T00:00:00"/>
    <n v="256"/>
    <n v="225.94"/>
    <n v="280.7"/>
    <n v="57840.639999999999"/>
  </r>
  <r>
    <s v="ORD0318"/>
    <x v="2"/>
    <s v="UK"/>
    <x v="4"/>
    <s v="Online"/>
    <s v="Low"/>
    <d v="2023-11-14T00:00:00"/>
    <n v="242"/>
    <n v="170.12"/>
    <n v="235.15"/>
    <n v="41169.040000000001"/>
  </r>
  <r>
    <s v="ORD0319"/>
    <x v="0"/>
    <s v="Australia"/>
    <x v="3"/>
    <s v="Online"/>
    <s v="High"/>
    <d v="2023-11-15T00:00:00"/>
    <n v="470"/>
    <n v="292.33999999999997"/>
    <n v="235.42"/>
    <n v="137399.79999999999"/>
  </r>
  <r>
    <s v="ORD0320"/>
    <x v="3"/>
    <s v="UK"/>
    <x v="3"/>
    <s v="Offline"/>
    <s v="High"/>
    <d v="2023-11-16T00:00:00"/>
    <n v="423"/>
    <n v="48.94"/>
    <n v="279.67"/>
    <n v="20701.62"/>
  </r>
  <r>
    <s v="ORD0321"/>
    <x v="1"/>
    <s v="UK"/>
    <x v="0"/>
    <s v="Online"/>
    <s v="Low"/>
    <d v="2023-11-17T00:00:00"/>
    <n v="426"/>
    <n v="481.02"/>
    <n v="371.99"/>
    <n v="204914.52"/>
  </r>
  <r>
    <s v="ORD0322"/>
    <x v="2"/>
    <s v="USA"/>
    <x v="3"/>
    <s v="Offline"/>
    <s v="Medium"/>
    <d v="2023-11-18T00:00:00"/>
    <n v="86"/>
    <n v="319.31"/>
    <n v="313.47000000000003"/>
    <n v="27460.66"/>
  </r>
  <r>
    <s v="ORD0323"/>
    <x v="1"/>
    <s v="Germany"/>
    <x v="1"/>
    <s v="Offline"/>
    <s v="High"/>
    <d v="2023-11-19T00:00:00"/>
    <n v="125"/>
    <n v="378.64"/>
    <n v="24.34"/>
    <n v="47330"/>
  </r>
  <r>
    <s v="ORD0324"/>
    <x v="3"/>
    <s v="India"/>
    <x v="0"/>
    <s v="Online"/>
    <s v="High"/>
    <d v="2023-11-20T00:00:00"/>
    <n v="163"/>
    <n v="89.39"/>
    <n v="341.39"/>
    <n v="14570.57"/>
  </r>
  <r>
    <s v="ORD0325"/>
    <x v="3"/>
    <s v="USA"/>
    <x v="0"/>
    <s v="Offline"/>
    <s v="Low"/>
    <d v="2023-11-21T00:00:00"/>
    <n v="415"/>
    <n v="207.69"/>
    <n v="91.77"/>
    <n v="86191.35"/>
  </r>
  <r>
    <s v="ORD0326"/>
    <x v="3"/>
    <s v="USA"/>
    <x v="3"/>
    <s v="Offline"/>
    <s v="Medium"/>
    <d v="2023-11-22T00:00:00"/>
    <n v="112"/>
    <n v="214.23"/>
    <n v="152.01"/>
    <n v="23993.759999999998"/>
  </r>
  <r>
    <s v="ORD0327"/>
    <x v="0"/>
    <s v="Germany"/>
    <x v="1"/>
    <s v="Offline"/>
    <s v="Low"/>
    <d v="2023-11-23T00:00:00"/>
    <n v="203"/>
    <n v="411.79"/>
    <n v="185.77"/>
    <n v="83593.37000000001"/>
  </r>
  <r>
    <s v="ORD0328"/>
    <x v="0"/>
    <s v="India"/>
    <x v="4"/>
    <s v="Offline"/>
    <s v="Medium"/>
    <d v="2023-11-24T00:00:00"/>
    <n v="256"/>
    <n v="5.61"/>
    <n v="193.4"/>
    <n v="1436.16"/>
  </r>
  <r>
    <s v="ORD0329"/>
    <x v="1"/>
    <s v="Australia"/>
    <x v="0"/>
    <s v="Offline"/>
    <s v="Medium"/>
    <d v="2023-11-25T00:00:00"/>
    <n v="368"/>
    <n v="153.91999999999999"/>
    <n v="175.2"/>
    <n v="56642.559999999998"/>
  </r>
  <r>
    <s v="ORD0330"/>
    <x v="1"/>
    <s v="Australia"/>
    <x v="4"/>
    <s v="Offline"/>
    <s v="Medium"/>
    <d v="2023-11-26T00:00:00"/>
    <n v="99"/>
    <n v="490.71"/>
    <n v="375.07"/>
    <n v="48580.29"/>
  </r>
  <r>
    <s v="ORD0331"/>
    <x v="2"/>
    <s v="USA"/>
    <x v="4"/>
    <s v="Online"/>
    <s v="High"/>
    <d v="2023-11-27T00:00:00"/>
    <n v="183"/>
    <n v="240.07"/>
    <n v="283"/>
    <n v="43932.81"/>
  </r>
  <r>
    <s v="ORD0332"/>
    <x v="1"/>
    <s v="India"/>
    <x v="4"/>
    <s v="Offline"/>
    <s v="Low"/>
    <d v="2023-11-28T00:00:00"/>
    <n v="131"/>
    <n v="194.35"/>
    <n v="253.21"/>
    <n v="25459.85"/>
  </r>
  <r>
    <s v="ORD0333"/>
    <x v="1"/>
    <s v="USA"/>
    <x v="2"/>
    <s v="Offline"/>
    <s v="Low"/>
    <d v="2023-11-29T00:00:00"/>
    <n v="152"/>
    <n v="64.319999999999993"/>
    <n v="21.84"/>
    <n v="9776.64"/>
  </r>
  <r>
    <s v="ORD0334"/>
    <x v="0"/>
    <s v="UK"/>
    <x v="2"/>
    <s v="Offline"/>
    <s v="Medium"/>
    <d v="2023-11-30T00:00:00"/>
    <n v="491"/>
    <n v="487.21"/>
    <n v="361.76"/>
    <n v="239220.11"/>
  </r>
  <r>
    <s v="ORD0335"/>
    <x v="3"/>
    <s v="USA"/>
    <x v="4"/>
    <s v="Online"/>
    <s v="High"/>
    <d v="2023-12-01T00:00:00"/>
    <n v="115"/>
    <n v="14.91"/>
    <n v="363.94"/>
    <n v="1714.65"/>
  </r>
  <r>
    <s v="ORD0336"/>
    <x v="1"/>
    <s v="USA"/>
    <x v="0"/>
    <s v="Offline"/>
    <s v="High"/>
    <d v="2023-12-02T00:00:00"/>
    <n v="384"/>
    <n v="369.9"/>
    <n v="312.52"/>
    <n v="142041.59999999998"/>
  </r>
  <r>
    <s v="ORD0337"/>
    <x v="2"/>
    <s v="Australia"/>
    <x v="1"/>
    <s v="Online"/>
    <s v="Low"/>
    <d v="2023-12-03T00:00:00"/>
    <n v="437"/>
    <n v="385.46"/>
    <n v="4.8"/>
    <n v="168446.02"/>
  </r>
  <r>
    <s v="ORD0338"/>
    <x v="0"/>
    <s v="Australia"/>
    <x v="1"/>
    <s v="Offline"/>
    <s v="High"/>
    <d v="2023-12-04T00:00:00"/>
    <n v="314"/>
    <n v="125.61"/>
    <n v="24.8"/>
    <n v="39441.54"/>
  </r>
  <r>
    <s v="ORD0339"/>
    <x v="1"/>
    <s v="Australia"/>
    <x v="3"/>
    <s v="Online"/>
    <s v="High"/>
    <d v="2023-12-05T00:00:00"/>
    <n v="369"/>
    <n v="337.42"/>
    <n v="91.64"/>
    <n v="124507.98000000001"/>
  </r>
  <r>
    <s v="ORD0340"/>
    <x v="1"/>
    <s v="UK"/>
    <x v="0"/>
    <s v="Online"/>
    <s v="Medium"/>
    <d v="2023-12-06T00:00:00"/>
    <n v="468"/>
    <n v="51"/>
    <n v="54.28"/>
    <n v="23868"/>
  </r>
  <r>
    <s v="ORD0341"/>
    <x v="0"/>
    <s v="Australia"/>
    <x v="2"/>
    <s v="Offline"/>
    <s v="High"/>
    <d v="2023-12-07T00:00:00"/>
    <n v="326"/>
    <n v="132.24"/>
    <n v="160.74"/>
    <n v="43110.240000000005"/>
  </r>
  <r>
    <s v="ORD0342"/>
    <x v="1"/>
    <s v="India"/>
    <x v="4"/>
    <s v="Offline"/>
    <s v="Medium"/>
    <d v="2023-12-08T00:00:00"/>
    <n v="460"/>
    <n v="395.01"/>
    <n v="369.2"/>
    <n v="181704.6"/>
  </r>
  <r>
    <s v="ORD0343"/>
    <x v="0"/>
    <s v="Germany"/>
    <x v="3"/>
    <s v="Online"/>
    <s v="Low"/>
    <d v="2023-12-09T00:00:00"/>
    <n v="132"/>
    <n v="433.02"/>
    <n v="189.88"/>
    <n v="57158.64"/>
  </r>
  <r>
    <s v="ORD0344"/>
    <x v="3"/>
    <s v="India"/>
    <x v="1"/>
    <s v="Offline"/>
    <s v="High"/>
    <d v="2023-12-10T00:00:00"/>
    <n v="399"/>
    <n v="306.2"/>
    <n v="7.33"/>
    <n v="122173.79999999999"/>
  </r>
  <r>
    <s v="ORD0345"/>
    <x v="0"/>
    <s v="India"/>
    <x v="2"/>
    <s v="Online"/>
    <s v="Low"/>
    <d v="2023-12-11T00:00:00"/>
    <n v="18"/>
    <n v="255.89"/>
    <n v="114.53"/>
    <n v="4606.0199999999995"/>
  </r>
  <r>
    <s v="ORD0346"/>
    <x v="0"/>
    <s v="Australia"/>
    <x v="2"/>
    <s v="Online"/>
    <s v="Low"/>
    <d v="2023-12-12T00:00:00"/>
    <n v="271"/>
    <n v="83.86"/>
    <n v="19.75"/>
    <n v="22726.06"/>
  </r>
  <r>
    <s v="ORD0347"/>
    <x v="1"/>
    <s v="Germany"/>
    <x v="4"/>
    <s v="Online"/>
    <s v="High"/>
    <d v="2023-12-13T00:00:00"/>
    <n v="82"/>
    <n v="36.24"/>
    <n v="16.440000000000001"/>
    <n v="2971.6800000000003"/>
  </r>
  <r>
    <s v="ORD0348"/>
    <x v="1"/>
    <s v="Germany"/>
    <x v="1"/>
    <s v="Online"/>
    <s v="High"/>
    <d v="2023-12-14T00:00:00"/>
    <n v="368"/>
    <n v="63.24"/>
    <n v="111.74"/>
    <n v="23272.32"/>
  </r>
  <r>
    <s v="ORD0349"/>
    <x v="1"/>
    <s v="Germany"/>
    <x v="0"/>
    <s v="Online"/>
    <s v="Low"/>
    <d v="2023-12-15T00:00:00"/>
    <n v="232"/>
    <n v="117.54"/>
    <n v="111.69"/>
    <n v="27269.280000000002"/>
  </r>
  <r>
    <s v="ORD0350"/>
    <x v="0"/>
    <s v="UK"/>
    <x v="2"/>
    <s v="Offline"/>
    <s v="High"/>
    <d v="2023-12-16T00:00:00"/>
    <n v="425"/>
    <n v="174.13"/>
    <n v="315.27999999999997"/>
    <n v="7400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2F81F-05C3-421F-AF0F-674586264426}" name="SalesByCategory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1"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numFmtId="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G3" workbookViewId="0"/>
  </sheetViews>
  <sheetFormatPr defaultColWidth="14.44140625" defaultRowHeight="15" customHeight="1"/>
  <cols>
    <col min="1" max="1" width="8.6640625" customWidth="1"/>
    <col min="2" max="2" width="6.77734375" bestFit="1" customWidth="1"/>
    <col min="3" max="3" width="8.33203125" bestFit="1" customWidth="1"/>
    <col min="4" max="4" width="9.88671875" bestFit="1" customWidth="1"/>
    <col min="5" max="5" width="12.5546875" bestFit="1" customWidth="1"/>
    <col min="6" max="6" width="12.33203125" bestFit="1" customWidth="1"/>
    <col min="7" max="7" width="18.109375" bestFit="1" customWidth="1"/>
    <col min="8" max="8" width="9.44140625" bestFit="1" customWidth="1"/>
    <col min="9" max="9" width="9.109375" bestFit="1" customWidth="1"/>
    <col min="10" max="10" width="8.6640625" bestFit="1" customWidth="1"/>
    <col min="11" max="11" width="13.109375" bestFit="1" customWidth="1"/>
    <col min="12" max="12" width="23.6640625" bestFit="1" customWidth="1"/>
    <col min="13" max="13" width="38.77734375" bestFit="1" customWidth="1"/>
    <col min="14" max="14" width="9.21875" bestFit="1" customWidth="1"/>
    <col min="15" max="16" width="8.6640625" customWidth="1"/>
    <col min="17" max="17" width="13.109375" bestFit="1" customWidth="1"/>
    <col min="18" max="26" width="8.6640625" customWidth="1"/>
  </cols>
  <sheetData>
    <row r="1" spans="1:1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392</v>
      </c>
      <c r="L1" s="54" t="s">
        <v>379</v>
      </c>
      <c r="M1" s="54"/>
      <c r="N1" s="54"/>
      <c r="P1" s="12" t="s">
        <v>1</v>
      </c>
      <c r="Q1" s="12" t="s">
        <v>399</v>
      </c>
    </row>
    <row r="2" spans="1:17" ht="14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  <c r="K2" s="9">
        <f>H2*I2</f>
        <v>35936.199999999997</v>
      </c>
      <c r="P2" t="s">
        <v>11</v>
      </c>
      <c r="Q2" s="9" cm="1">
        <f t="array" ref="Q2">SUMPRODUCT((B2:B351=P2)*((I2:I351-J2:J351)*H2:H351))/COUNTIF(B2:B351,P2)</f>
        <v>12492.869670329672</v>
      </c>
    </row>
    <row r="3" spans="1:17" ht="14.4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  <c r="K3" s="9">
        <f t="shared" ref="K3:K66" si="0">H3*I3</f>
        <v>159560.72</v>
      </c>
      <c r="L3" s="5" t="s">
        <v>380</v>
      </c>
      <c r="M3" s="5" t="s">
        <v>381</v>
      </c>
      <c r="N3" s="5" t="s">
        <v>382</v>
      </c>
      <c r="P3" t="s">
        <v>17</v>
      </c>
      <c r="Q3" s="9" cm="1">
        <f t="array" ref="Q3">SUMPRODUCT((B2:B351=P3)*((I2:I351-J2:J351)*H2:H351))/COUNTIF(B2:B351,P3)</f>
        <v>11221.349811320755</v>
      </c>
    </row>
    <row r="4" spans="1:17" ht="14.4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  <c r="K4" s="9">
        <f t="shared" si="0"/>
        <v>84835.26</v>
      </c>
      <c r="L4" t="s">
        <v>0</v>
      </c>
      <c r="M4">
        <v>0</v>
      </c>
      <c r="N4" s="6">
        <v>0</v>
      </c>
      <c r="P4" t="s">
        <v>22</v>
      </c>
      <c r="Q4" s="9" cm="1">
        <f t="array" ref="Q4">SUMPRODUCT((B2:B351=P4)*((I2:I351-J2:J351)*H2:H351))/COUNTIF(B2:B351,P4)</f>
        <v>16727.885128205122</v>
      </c>
    </row>
    <row r="5" spans="1:17" ht="14.4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  <c r="K5" s="9">
        <f t="shared" si="0"/>
        <v>5661.5399999999991</v>
      </c>
      <c r="L5" s="7" t="s">
        <v>1</v>
      </c>
      <c r="M5">
        <v>10</v>
      </c>
      <c r="N5" s="6">
        <v>2.86E-2</v>
      </c>
      <c r="P5" t="s">
        <v>48</v>
      </c>
      <c r="Q5" s="9" cm="1">
        <f t="array" ref="Q5">SUMPRODUCT((B2:B351=P5)*((I2:I351-J2:J351)*H2:H351))/COUNTIF(B2:B351,P5)</f>
        <v>19174.704533333344</v>
      </c>
    </row>
    <row r="6" spans="1:17" ht="14.4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  <c r="K6" s="9">
        <f t="shared" si="0"/>
        <v>185396.88</v>
      </c>
      <c r="L6" t="s">
        <v>2</v>
      </c>
      <c r="M6">
        <v>0</v>
      </c>
      <c r="N6" s="6">
        <v>0</v>
      </c>
    </row>
    <row r="7" spans="1:17" ht="14.4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  <c r="K7" s="9">
        <f t="shared" si="0"/>
        <v>15095.43</v>
      </c>
      <c r="L7" s="7" t="s">
        <v>3</v>
      </c>
      <c r="M7">
        <v>10</v>
      </c>
      <c r="N7" s="6">
        <v>2.86E-2</v>
      </c>
    </row>
    <row r="8" spans="1:17" ht="14.4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K8" s="9">
        <f t="shared" si="0"/>
        <v>8322.52</v>
      </c>
      <c r="L8" t="s">
        <v>4</v>
      </c>
      <c r="M8">
        <v>0</v>
      </c>
      <c r="N8" s="6">
        <v>0</v>
      </c>
    </row>
    <row r="9" spans="1:17" ht="14.4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K9" s="9">
        <f t="shared" si="0"/>
        <v>89669.7</v>
      </c>
      <c r="L9" t="s">
        <v>5</v>
      </c>
      <c r="M9">
        <v>0</v>
      </c>
      <c r="N9" s="6">
        <v>0</v>
      </c>
    </row>
    <row r="10" spans="1:17" ht="14.4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K10" s="9">
        <f t="shared" si="0"/>
        <v>112610.96</v>
      </c>
      <c r="L10" t="s">
        <v>6</v>
      </c>
      <c r="M10">
        <v>0</v>
      </c>
      <c r="N10" s="6">
        <v>0</v>
      </c>
    </row>
    <row r="11" spans="1:17" ht="14.4">
      <c r="A11" s="2" t="s">
        <v>35</v>
      </c>
      <c r="B11" t="s">
        <v>17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K11" s="9">
        <f t="shared" si="0"/>
        <v>135939</v>
      </c>
      <c r="L11" s="7" t="s">
        <v>7</v>
      </c>
      <c r="M11">
        <v>10</v>
      </c>
      <c r="N11" s="6">
        <v>2.86E-2</v>
      </c>
    </row>
    <row r="12" spans="1:17" ht="14.4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K12" s="9">
        <f t="shared" si="0"/>
        <v>92355</v>
      </c>
      <c r="L12" s="7" t="s">
        <v>8</v>
      </c>
      <c r="M12">
        <v>10</v>
      </c>
      <c r="N12" s="6">
        <v>2.86E-2</v>
      </c>
    </row>
    <row r="13" spans="1:17" ht="14.4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K13" s="9">
        <f t="shared" si="0"/>
        <v>116907.05</v>
      </c>
      <c r="L13" t="s">
        <v>9</v>
      </c>
      <c r="M13">
        <v>0</v>
      </c>
      <c r="N13" s="6">
        <v>0</v>
      </c>
    </row>
    <row r="14" spans="1:17" ht="14.4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K14" s="9">
        <f t="shared" si="0"/>
        <v>3347.61</v>
      </c>
    </row>
    <row r="15" spans="1:17" ht="14.4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K15" s="9">
        <f t="shared" si="0"/>
        <v>40676.960000000006</v>
      </c>
      <c r="L15" s="4" t="s">
        <v>383</v>
      </c>
      <c r="M15">
        <v>350</v>
      </c>
    </row>
    <row r="16" spans="1:17" ht="14.4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K16" s="9">
        <f t="shared" si="0"/>
        <v>10439.17</v>
      </c>
      <c r="L16" s="4" t="s">
        <v>384</v>
      </c>
      <c r="M16">
        <v>40</v>
      </c>
    </row>
    <row r="17" spans="1:13" ht="14.4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K17" s="9">
        <f t="shared" si="0"/>
        <v>122597.23000000001</v>
      </c>
    </row>
    <row r="18" spans="1:13" ht="15.6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K18" s="9">
        <f t="shared" si="0"/>
        <v>77654.2</v>
      </c>
      <c r="L18" s="55" t="s">
        <v>385</v>
      </c>
      <c r="M18" s="55"/>
    </row>
    <row r="19" spans="1:13" ht="14.4">
      <c r="A19" s="2" t="s">
        <v>44</v>
      </c>
      <c r="B19" t="s">
        <v>17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K19" s="9">
        <f t="shared" si="0"/>
        <v>130106.2</v>
      </c>
    </row>
    <row r="20" spans="1:13" ht="14.4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  <c r="K20" s="9">
        <f t="shared" si="0"/>
        <v>44814.400000000001</v>
      </c>
      <c r="L20" s="5" t="s">
        <v>386</v>
      </c>
      <c r="M20" s="5" t="s">
        <v>387</v>
      </c>
    </row>
    <row r="21" spans="1:13" ht="15.75" customHeight="1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  <c r="K21" s="9">
        <f t="shared" si="0"/>
        <v>30669.210000000003</v>
      </c>
      <c r="L21" t="s">
        <v>1</v>
      </c>
      <c r="M21" t="s">
        <v>388</v>
      </c>
    </row>
    <row r="22" spans="1:13" ht="15.75" customHeight="1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  <c r="K22" s="9">
        <f t="shared" si="0"/>
        <v>68990.460000000006</v>
      </c>
      <c r="L22" t="s">
        <v>3</v>
      </c>
      <c r="M22" t="s">
        <v>389</v>
      </c>
    </row>
    <row r="23" spans="1:13" ht="15.75" customHeight="1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  <c r="K23" s="9">
        <f t="shared" si="0"/>
        <v>110073.62000000001</v>
      </c>
      <c r="L23" t="s">
        <v>7</v>
      </c>
      <c r="M23" t="s">
        <v>390</v>
      </c>
    </row>
    <row r="24" spans="1:13" ht="15.75" customHeight="1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  <c r="K24" s="9">
        <f t="shared" si="0"/>
        <v>17177.32</v>
      </c>
      <c r="L24" t="s">
        <v>8</v>
      </c>
      <c r="M24" t="s">
        <v>391</v>
      </c>
    </row>
    <row r="25" spans="1:13" ht="15.75" customHeight="1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  <c r="K25" s="9">
        <f t="shared" si="0"/>
        <v>141882</v>
      </c>
    </row>
    <row r="26" spans="1:13" ht="15.75" customHeight="1">
      <c r="A26" s="2" t="s">
        <v>53</v>
      </c>
      <c r="B26" s="2" t="s">
        <v>17</v>
      </c>
      <c r="C26" s="2" t="s">
        <v>18</v>
      </c>
      <c r="D26" t="s">
        <v>13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  <c r="K26" s="9">
        <f t="shared" si="0"/>
        <v>40637.1</v>
      </c>
    </row>
    <row r="27" spans="1:13" ht="15.75" customHeight="1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  <c r="K27" s="9">
        <f t="shared" si="0"/>
        <v>12506.699999999999</v>
      </c>
      <c r="L27" s="4" t="s">
        <v>393</v>
      </c>
      <c r="M27" s="10">
        <f>_xlfn.XLOOKUP("ORD0123",A2:A351,K2:K351,"Not Found")</f>
        <v>15849.300000000001</v>
      </c>
    </row>
    <row r="28" spans="1:13" ht="15.75" customHeight="1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  <c r="K28" s="9">
        <f t="shared" si="0"/>
        <v>24913.79</v>
      </c>
    </row>
    <row r="29" spans="1:13" ht="15.75" customHeight="1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I29">
        <v>249.65</v>
      </c>
      <c r="J29" s="2">
        <v>383.01</v>
      </c>
      <c r="K29" s="9">
        <f t="shared" si="0"/>
        <v>115338.3</v>
      </c>
      <c r="L29" s="4" t="s">
        <v>394</v>
      </c>
    </row>
    <row r="30" spans="1:13" ht="15.75" customHeight="1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  <c r="K30" s="9">
        <f t="shared" si="0"/>
        <v>154333.9</v>
      </c>
      <c r="L30" s="4" t="s">
        <v>395</v>
      </c>
      <c r="M30" s="11">
        <f>_xlfn.XLOOKUP("ORD0123",A2:A351,H2:H351)</f>
        <v>46</v>
      </c>
    </row>
    <row r="31" spans="1:13" ht="15.75" customHeight="1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  <c r="K31" s="9">
        <f t="shared" si="0"/>
        <v>15255</v>
      </c>
      <c r="L31" s="4" t="s">
        <v>396</v>
      </c>
      <c r="M31" s="9">
        <f>_xlfn.XLOOKUP("ORD0123",A2:A351,I2:I351)</f>
        <v>344.55</v>
      </c>
    </row>
    <row r="32" spans="1:13" ht="15.75" customHeight="1">
      <c r="A32" s="2" t="s">
        <v>59</v>
      </c>
      <c r="B32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  <c r="K32" s="9">
        <f t="shared" si="0"/>
        <v>33644.189999999995</v>
      </c>
      <c r="L32" s="4" t="s">
        <v>397</v>
      </c>
      <c r="M32" t="str">
        <f>_xlfn.XLOOKUP("ORD0123",A2:A351,H2:H351) &amp; " × " &amp; _xlfn.XLOOKUP("ORD0123",A2:A351,I2:I351)</f>
        <v>46 × 344.55</v>
      </c>
    </row>
    <row r="33" spans="1:13" ht="15.75" customHeight="1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  <c r="K33" s="9">
        <f t="shared" si="0"/>
        <v>12209.33</v>
      </c>
      <c r="L33" s="4" t="s">
        <v>398</v>
      </c>
      <c r="M33" s="10">
        <f>_xlfn.XLOOKUP("ORD0123",A2:A351,K2:K351)</f>
        <v>15849.300000000001</v>
      </c>
    </row>
    <row r="34" spans="1:13" ht="15.75" customHeight="1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  <c r="K34" s="9">
        <f t="shared" si="0"/>
        <v>14061.6</v>
      </c>
    </row>
    <row r="35" spans="1:13" ht="15.75" customHeight="1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  <c r="K35" s="9">
        <f t="shared" si="0"/>
        <v>47674.130000000005</v>
      </c>
    </row>
    <row r="36" spans="1:13" ht="15.75" customHeight="1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  <c r="K36" s="9">
        <f t="shared" si="0"/>
        <v>37336.86</v>
      </c>
    </row>
    <row r="37" spans="1:13" ht="15.75" customHeight="1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  <c r="K37" s="9">
        <f t="shared" si="0"/>
        <v>75935.38</v>
      </c>
    </row>
    <row r="38" spans="1:13" ht="15.75" customHeight="1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I38">
        <v>249.65</v>
      </c>
      <c r="J38" s="2">
        <v>332.07</v>
      </c>
      <c r="K38" s="9">
        <f t="shared" si="0"/>
        <v>30956.600000000002</v>
      </c>
    </row>
    <row r="39" spans="1:13" ht="15.75" customHeight="1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  <c r="K39" s="9">
        <f t="shared" si="0"/>
        <v>82098.899999999994</v>
      </c>
    </row>
    <row r="40" spans="1:13" ht="15.75" customHeight="1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H40">
        <v>256</v>
      </c>
      <c r="I40" s="2">
        <v>91.23</v>
      </c>
      <c r="J40" s="2">
        <v>381.21</v>
      </c>
      <c r="K40" s="9">
        <f t="shared" si="0"/>
        <v>23354.880000000001</v>
      </c>
    </row>
    <row r="41" spans="1:13" ht="15.75" customHeight="1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  <c r="K41" s="9">
        <f t="shared" si="0"/>
        <v>31238.35</v>
      </c>
    </row>
    <row r="42" spans="1:13" ht="15.75" customHeight="1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  <c r="K42" s="9">
        <f t="shared" si="0"/>
        <v>10332.630000000001</v>
      </c>
    </row>
    <row r="43" spans="1:13" ht="15.75" customHeight="1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  <c r="K43" s="9">
        <f t="shared" si="0"/>
        <v>153872.07</v>
      </c>
    </row>
    <row r="44" spans="1:13" ht="15.75" customHeight="1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  <c r="K44" s="9">
        <f t="shared" si="0"/>
        <v>15495.76</v>
      </c>
    </row>
    <row r="45" spans="1:13" ht="15.75" customHeight="1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  <c r="K45" s="9">
        <f t="shared" si="0"/>
        <v>131364</v>
      </c>
    </row>
    <row r="46" spans="1:13" ht="15.75" customHeight="1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I46">
        <v>249.65</v>
      </c>
      <c r="J46" s="2">
        <v>94.56</v>
      </c>
      <c r="K46" s="9">
        <f t="shared" si="0"/>
        <v>117335.5</v>
      </c>
    </row>
    <row r="47" spans="1:13" ht="15.75" customHeight="1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  <c r="K47" s="9">
        <f t="shared" si="0"/>
        <v>62705.4</v>
      </c>
    </row>
    <row r="48" spans="1:13" ht="15.75" customHeight="1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  <c r="K48" s="9">
        <f t="shared" si="0"/>
        <v>81631.14</v>
      </c>
    </row>
    <row r="49" spans="1:11" ht="15.75" customHeight="1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  <c r="K49" s="9">
        <f t="shared" si="0"/>
        <v>70305.53</v>
      </c>
    </row>
    <row r="50" spans="1:11" ht="15.75" customHeight="1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  <c r="K50" s="9">
        <f t="shared" si="0"/>
        <v>66620.25</v>
      </c>
    </row>
    <row r="51" spans="1:11" ht="15.75" customHeight="1">
      <c r="A51" s="2" t="s">
        <v>78</v>
      </c>
      <c r="B51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K51" s="9">
        <f t="shared" si="0"/>
        <v>3049.8</v>
      </c>
    </row>
    <row r="52" spans="1:11" ht="15.75" customHeight="1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  <c r="K52" s="9">
        <f t="shared" si="0"/>
        <v>69269.100000000006</v>
      </c>
    </row>
    <row r="53" spans="1:11" ht="15.75" customHeight="1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  <c r="K53" s="9">
        <f t="shared" si="0"/>
        <v>53995.62</v>
      </c>
    </row>
    <row r="54" spans="1:11" ht="15.75" customHeight="1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  <c r="K54" s="9">
        <f t="shared" si="0"/>
        <v>30387.87</v>
      </c>
    </row>
    <row r="55" spans="1:11" ht="15.75" customHeight="1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  <c r="K55" s="9">
        <f t="shared" si="0"/>
        <v>143898.62</v>
      </c>
    </row>
    <row r="56" spans="1:11" ht="15.75" customHeight="1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  <c r="K56" s="9">
        <f t="shared" si="0"/>
        <v>22387.64</v>
      </c>
    </row>
    <row r="57" spans="1:11" ht="15.75" customHeight="1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  <c r="K57" s="9">
        <f t="shared" si="0"/>
        <v>33735.480000000003</v>
      </c>
    </row>
    <row r="58" spans="1:11" ht="15.75" customHeight="1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  <c r="K58" s="9">
        <f t="shared" si="0"/>
        <v>45544.63</v>
      </c>
    </row>
    <row r="59" spans="1:11" ht="15.75" customHeight="1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  <c r="K59" s="9">
        <f t="shared" si="0"/>
        <v>32534.84</v>
      </c>
    </row>
    <row r="60" spans="1:11" ht="15.75" customHeight="1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  <c r="K60" s="9">
        <f t="shared" si="0"/>
        <v>54210</v>
      </c>
    </row>
    <row r="61" spans="1:11" ht="15.75" customHeight="1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  <c r="K61" s="9">
        <f t="shared" si="0"/>
        <v>87635.760000000009</v>
      </c>
    </row>
    <row r="62" spans="1:11" ht="15.75" customHeight="1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  <c r="K62" s="9">
        <f t="shared" si="0"/>
        <v>22616.28</v>
      </c>
    </row>
    <row r="63" spans="1:11" ht="15.75" customHeight="1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  <c r="K63" s="9">
        <f t="shared" si="0"/>
        <v>43088.88</v>
      </c>
    </row>
    <row r="64" spans="1:11" ht="15.75" customHeight="1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  <c r="K64" s="9">
        <f t="shared" si="0"/>
        <v>73932.800000000003</v>
      </c>
    </row>
    <row r="65" spans="1:11" ht="15.75" customHeight="1">
      <c r="A65" s="2" t="s">
        <v>92</v>
      </c>
      <c r="B65" t="s">
        <v>17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  <c r="K65" s="9">
        <f t="shared" si="0"/>
        <v>36807.769999999997</v>
      </c>
    </row>
    <row r="66" spans="1:11" ht="15.75" customHeight="1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  <c r="K66" s="9">
        <f t="shared" si="0"/>
        <v>110565.8</v>
      </c>
    </row>
    <row r="67" spans="1:11" ht="15.75" customHeight="1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  <c r="K67" s="9">
        <f t="shared" ref="K67:K130" si="1">H67*I67</f>
        <v>63622</v>
      </c>
    </row>
    <row r="68" spans="1:11" ht="15.75" customHeight="1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  <c r="K68" s="9">
        <f t="shared" si="1"/>
        <v>31087.84</v>
      </c>
    </row>
    <row r="69" spans="1:11" ht="15.75" customHeight="1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  <c r="K69" s="9">
        <f t="shared" si="1"/>
        <v>111516.94</v>
      </c>
    </row>
    <row r="70" spans="1:11" ht="15.75" customHeight="1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  <c r="K70" s="9">
        <f t="shared" si="1"/>
        <v>41261.649999999994</v>
      </c>
    </row>
    <row r="71" spans="1:11" ht="15.75" customHeight="1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  <c r="K71" s="9">
        <f t="shared" si="1"/>
        <v>627.52</v>
      </c>
    </row>
    <row r="72" spans="1:11" ht="15.75" customHeight="1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  <c r="K72" s="9">
        <f t="shared" si="1"/>
        <v>31438.799999999999</v>
      </c>
    </row>
    <row r="73" spans="1:11" ht="15.75" customHeight="1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  <c r="K73" s="9">
        <f t="shared" si="1"/>
        <v>12983.24</v>
      </c>
    </row>
    <row r="74" spans="1:11" ht="15.75" customHeight="1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  <c r="K74" s="9">
        <f t="shared" si="1"/>
        <v>11096.460000000001</v>
      </c>
    </row>
    <row r="75" spans="1:11" ht="15.75" customHeight="1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  <c r="K75" s="9">
        <f t="shared" si="1"/>
        <v>96412.27</v>
      </c>
    </row>
    <row r="76" spans="1:11" ht="15.75" customHeight="1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  <c r="K76" s="9">
        <f t="shared" si="1"/>
        <v>75286.98</v>
      </c>
    </row>
    <row r="77" spans="1:11" ht="15.75" customHeight="1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  <c r="K77" s="9">
        <f t="shared" si="1"/>
        <v>13320</v>
      </c>
    </row>
    <row r="78" spans="1:11" ht="15.75" customHeight="1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  <c r="K78" s="9">
        <f t="shared" si="1"/>
        <v>1668.8</v>
      </c>
    </row>
    <row r="79" spans="1:11" ht="15.75" customHeight="1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  <c r="K79" s="9">
        <f t="shared" si="1"/>
        <v>142593</v>
      </c>
    </row>
    <row r="80" spans="1:11" ht="15.75" customHeight="1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  <c r="K80" s="9">
        <f t="shared" si="1"/>
        <v>64282.53</v>
      </c>
    </row>
    <row r="81" spans="1:11" ht="15.75" customHeight="1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I81">
        <v>249.65</v>
      </c>
      <c r="J81" s="2">
        <v>339.51</v>
      </c>
      <c r="K81" s="9">
        <f t="shared" si="1"/>
        <v>42190.85</v>
      </c>
    </row>
    <row r="82" spans="1:11" ht="15.75" customHeight="1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  <c r="K82" s="9">
        <f t="shared" si="1"/>
        <v>159848.4</v>
      </c>
    </row>
    <row r="83" spans="1:11" ht="15.75" customHeight="1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  <c r="K83" s="9">
        <f t="shared" si="1"/>
        <v>4223.62</v>
      </c>
    </row>
    <row r="84" spans="1:11" ht="15.75" customHeight="1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  <c r="K84" s="9">
        <f t="shared" si="1"/>
        <v>49475.42</v>
      </c>
    </row>
    <row r="85" spans="1:11" ht="15.75" customHeight="1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  <c r="K85" s="9">
        <f t="shared" si="1"/>
        <v>14465.28</v>
      </c>
    </row>
    <row r="86" spans="1:11" ht="15.75" customHeight="1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  <c r="K86" s="9">
        <f t="shared" si="1"/>
        <v>85372.4</v>
      </c>
    </row>
    <row r="87" spans="1:11" ht="15.75" customHeight="1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  <c r="K87" s="9">
        <f t="shared" si="1"/>
        <v>11132.03</v>
      </c>
    </row>
    <row r="88" spans="1:11" ht="15.75" customHeight="1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  <c r="K88" s="9">
        <f t="shared" si="1"/>
        <v>44223.4</v>
      </c>
    </row>
    <row r="89" spans="1:11" ht="15.75" customHeight="1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  <c r="K89" s="9">
        <f t="shared" si="1"/>
        <v>118131.48</v>
      </c>
    </row>
    <row r="90" spans="1:11" ht="15.75" customHeight="1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  <c r="K90" s="9">
        <f t="shared" si="1"/>
        <v>48117</v>
      </c>
    </row>
    <row r="91" spans="1:11" ht="15.75" customHeight="1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  <c r="K91" s="9">
        <f t="shared" si="1"/>
        <v>14515.939999999999</v>
      </c>
    </row>
    <row r="92" spans="1:11" ht="15.75" customHeight="1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  <c r="K92" s="9">
        <f t="shared" si="1"/>
        <v>110390.04</v>
      </c>
    </row>
    <row r="93" spans="1:11" ht="15.75" customHeight="1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I93">
        <v>249.65</v>
      </c>
      <c r="J93" s="2">
        <v>55.25</v>
      </c>
      <c r="K93" s="9">
        <f t="shared" si="1"/>
        <v>5242.6500000000005</v>
      </c>
    </row>
    <row r="94" spans="1:11" ht="15.75" customHeight="1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  <c r="K94" s="9">
        <f t="shared" si="1"/>
        <v>23453.600000000002</v>
      </c>
    </row>
    <row r="95" spans="1:11" ht="15.75" customHeight="1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  <c r="K95" s="9">
        <f t="shared" si="1"/>
        <v>104408.73</v>
      </c>
    </row>
    <row r="96" spans="1:11" ht="15.75" customHeight="1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  <c r="K96" s="9">
        <f t="shared" si="1"/>
        <v>68968</v>
      </c>
    </row>
    <row r="97" spans="1:11" ht="15.75" customHeight="1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  <c r="K97" s="9">
        <f t="shared" si="1"/>
        <v>10440.1</v>
      </c>
    </row>
    <row r="98" spans="1:11" ht="15.75" customHeight="1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  <c r="K98" s="9">
        <f t="shared" si="1"/>
        <v>7150</v>
      </c>
    </row>
    <row r="99" spans="1:11" ht="15.75" customHeight="1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  <c r="K99" s="9">
        <f t="shared" si="1"/>
        <v>29984.120000000003</v>
      </c>
    </row>
    <row r="100" spans="1:11" ht="15.75" customHeight="1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  <c r="K100" s="9">
        <f t="shared" si="1"/>
        <v>23519.16</v>
      </c>
    </row>
    <row r="101" spans="1:11" ht="15.75" customHeight="1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  <c r="K101" s="9">
        <f t="shared" si="1"/>
        <v>73747.08</v>
      </c>
    </row>
    <row r="102" spans="1:11" ht="15.75" customHeight="1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  <c r="K102" s="9">
        <f t="shared" si="1"/>
        <v>4721.08</v>
      </c>
    </row>
    <row r="103" spans="1:11" ht="15.75" customHeight="1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  <c r="K103" s="9">
        <f t="shared" si="1"/>
        <v>99294.209999999992</v>
      </c>
    </row>
    <row r="104" spans="1:11" ht="15.75" customHeight="1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  <c r="K104" s="9">
        <f t="shared" si="1"/>
        <v>90941.680000000008</v>
      </c>
    </row>
    <row r="105" spans="1:11" ht="15.75" customHeight="1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  <c r="K105" s="9">
        <f t="shared" si="1"/>
        <v>128563.71</v>
      </c>
    </row>
    <row r="106" spans="1:11" ht="15.75" customHeight="1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  <c r="K106" s="9">
        <f t="shared" si="1"/>
        <v>44512.149999999994</v>
      </c>
    </row>
    <row r="107" spans="1:11" ht="15.75" customHeight="1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  <c r="K107" s="9">
        <f t="shared" si="1"/>
        <v>197785.03</v>
      </c>
    </row>
    <row r="108" spans="1:11" ht="15.75" customHeight="1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  <c r="K108" s="9">
        <f t="shared" si="1"/>
        <v>99291.839999999997</v>
      </c>
    </row>
    <row r="109" spans="1:11" ht="15.75" customHeight="1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  <c r="K109" s="9">
        <f t="shared" si="1"/>
        <v>101821.5</v>
      </c>
    </row>
    <row r="110" spans="1:11" ht="15.75" customHeight="1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  <c r="K110" s="9">
        <f t="shared" si="1"/>
        <v>3770.2400000000002</v>
      </c>
    </row>
    <row r="111" spans="1:11" ht="15.75" customHeight="1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  <c r="K111" s="9">
        <f t="shared" si="1"/>
        <v>165292.35</v>
      </c>
    </row>
    <row r="112" spans="1:11" ht="15.75" customHeight="1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  <c r="K112" s="9">
        <f t="shared" si="1"/>
        <v>31354.120000000003</v>
      </c>
    </row>
    <row r="113" spans="1:11" ht="15.75" customHeight="1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  <c r="K113" s="9">
        <f t="shared" si="1"/>
        <v>50510.43</v>
      </c>
    </row>
    <row r="114" spans="1:11" ht="15.75" customHeight="1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  <c r="K114" s="9">
        <f t="shared" si="1"/>
        <v>14193.76</v>
      </c>
    </row>
    <row r="115" spans="1:11" ht="15.75" customHeight="1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  <c r="K115" s="9">
        <f t="shared" si="1"/>
        <v>26709.4</v>
      </c>
    </row>
    <row r="116" spans="1:11" ht="15.75" customHeight="1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  <c r="K116" s="9">
        <f t="shared" si="1"/>
        <v>28127.66</v>
      </c>
    </row>
    <row r="117" spans="1:11" ht="15.75" customHeight="1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  <c r="K117" s="9">
        <f t="shared" si="1"/>
        <v>21927.63</v>
      </c>
    </row>
    <row r="118" spans="1:11" ht="15.75" customHeight="1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  <c r="K118" s="9">
        <f t="shared" si="1"/>
        <v>23980.440000000002</v>
      </c>
    </row>
    <row r="119" spans="1:11" ht="15.75" customHeight="1">
      <c r="A119" s="2" t="s">
        <v>146</v>
      </c>
      <c r="B119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  <c r="K119" s="9">
        <f t="shared" si="1"/>
        <v>18413.920000000002</v>
      </c>
    </row>
    <row r="120" spans="1:11" ht="15.75" customHeight="1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  <c r="K120" s="9">
        <f t="shared" si="1"/>
        <v>123946.61000000002</v>
      </c>
    </row>
    <row r="121" spans="1:11" ht="15.75" customHeight="1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  <c r="K121" s="9">
        <f t="shared" si="1"/>
        <v>23850.54</v>
      </c>
    </row>
    <row r="122" spans="1:11" ht="15.75" customHeight="1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  <c r="K122" s="9">
        <f t="shared" si="1"/>
        <v>69384.800000000003</v>
      </c>
    </row>
    <row r="123" spans="1:11" ht="15.75" customHeight="1">
      <c r="A123" s="2" t="s">
        <v>150</v>
      </c>
      <c r="B123" t="s">
        <v>17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  <c r="K123" s="9">
        <f t="shared" si="1"/>
        <v>56029.05</v>
      </c>
    </row>
    <row r="124" spans="1:11" ht="15.75" customHeight="1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  <c r="K124" s="9">
        <f t="shared" si="1"/>
        <v>15849.300000000001</v>
      </c>
    </row>
    <row r="125" spans="1:11" ht="15.75" customHeight="1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  <c r="K125" s="9">
        <f t="shared" si="1"/>
        <v>6609.5999999999995</v>
      </c>
    </row>
    <row r="126" spans="1:11" ht="15.75" customHeight="1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  <c r="K126" s="9">
        <f t="shared" si="1"/>
        <v>47340.649999999994</v>
      </c>
    </row>
    <row r="127" spans="1:11" ht="15.75" customHeight="1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  <c r="K127" s="9">
        <f t="shared" si="1"/>
        <v>99769.4</v>
      </c>
    </row>
    <row r="128" spans="1:11" ht="15.75" customHeight="1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  <c r="K128" s="9">
        <f t="shared" si="1"/>
        <v>120662.08000000002</v>
      </c>
    </row>
    <row r="129" spans="1:11" ht="15.75" customHeight="1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  <c r="K129" s="9">
        <f t="shared" si="1"/>
        <v>47233.24</v>
      </c>
    </row>
    <row r="130" spans="1:11" ht="15.75" customHeight="1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  <c r="K130" s="9">
        <f t="shared" si="1"/>
        <v>129787.18</v>
      </c>
    </row>
    <row r="131" spans="1:11" ht="15.75" customHeight="1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  <c r="K131" s="9">
        <f t="shared" ref="K131:K194" si="2">H131*I131</f>
        <v>43827.11</v>
      </c>
    </row>
    <row r="132" spans="1:11" ht="15.75" customHeight="1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H132">
        <v>256</v>
      </c>
      <c r="I132" s="2">
        <v>268.45999999999998</v>
      </c>
      <c r="J132" s="2">
        <v>199.19</v>
      </c>
      <c r="K132" s="9">
        <f t="shared" si="2"/>
        <v>68725.759999999995</v>
      </c>
    </row>
    <row r="133" spans="1:11" ht="15.75" customHeight="1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  <c r="K133" s="9">
        <f t="shared" si="2"/>
        <v>15330.72</v>
      </c>
    </row>
    <row r="134" spans="1:11" ht="15.75" customHeight="1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  <c r="K134" s="9">
        <f t="shared" si="2"/>
        <v>14208.689999999999</v>
      </c>
    </row>
    <row r="135" spans="1:11" ht="15.75" customHeight="1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  <c r="K135" s="9">
        <f t="shared" si="2"/>
        <v>1977.3</v>
      </c>
    </row>
    <row r="136" spans="1:11" ht="15.75" customHeight="1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  <c r="K136" s="9">
        <f t="shared" si="2"/>
        <v>9874.41</v>
      </c>
    </row>
    <row r="137" spans="1:11" ht="15.75" customHeight="1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  <c r="K137" s="9">
        <f t="shared" si="2"/>
        <v>152628.69999999998</v>
      </c>
    </row>
    <row r="138" spans="1:11" ht="15.75" customHeight="1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  <c r="K138" s="9">
        <f t="shared" si="2"/>
        <v>35005.799999999996</v>
      </c>
    </row>
    <row r="139" spans="1:11" ht="15.75" customHeight="1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  <c r="K139" s="9">
        <f t="shared" si="2"/>
        <v>39586.69</v>
      </c>
    </row>
    <row r="140" spans="1:11" ht="15.75" customHeight="1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  <c r="K140" s="9">
        <f t="shared" si="2"/>
        <v>140469.07999999999</v>
      </c>
    </row>
    <row r="141" spans="1:11" ht="15.75" customHeight="1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  <c r="K141" s="9">
        <f t="shared" si="2"/>
        <v>16624.599999999999</v>
      </c>
    </row>
    <row r="142" spans="1:11" ht="15.75" customHeight="1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  <c r="K142" s="9">
        <f t="shared" si="2"/>
        <v>3754.41</v>
      </c>
    </row>
    <row r="143" spans="1:11" ht="15.75" customHeight="1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  <c r="K143" s="9">
        <f t="shared" si="2"/>
        <v>232738.38</v>
      </c>
    </row>
    <row r="144" spans="1:11" ht="15.75" customHeight="1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  <c r="K144" s="9">
        <f t="shared" si="2"/>
        <v>16948.02</v>
      </c>
    </row>
    <row r="145" spans="1:11" ht="15.75" customHeight="1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  <c r="K145" s="9">
        <f t="shared" si="2"/>
        <v>72819.69</v>
      </c>
    </row>
    <row r="146" spans="1:11" ht="15.75" customHeight="1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  <c r="K146" s="9">
        <f t="shared" si="2"/>
        <v>154167.30000000002</v>
      </c>
    </row>
    <row r="147" spans="1:11" ht="15.75" customHeight="1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  <c r="K147" s="9">
        <f t="shared" si="2"/>
        <v>53088.12</v>
      </c>
    </row>
    <row r="148" spans="1:11" ht="15.75" customHeight="1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  <c r="K148" s="9">
        <f t="shared" si="2"/>
        <v>2747.67</v>
      </c>
    </row>
    <row r="149" spans="1:11" ht="15.75" customHeight="1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  <c r="K149" s="9">
        <f t="shared" si="2"/>
        <v>23156.399999999998</v>
      </c>
    </row>
    <row r="150" spans="1:11" ht="15.75" customHeight="1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  <c r="K150" s="9">
        <f t="shared" si="2"/>
        <v>122386.31999999999</v>
      </c>
    </row>
    <row r="151" spans="1:11" ht="15.75" customHeight="1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  <c r="K151" s="9">
        <f t="shared" si="2"/>
        <v>92224.74</v>
      </c>
    </row>
    <row r="152" spans="1:11" ht="15.75" customHeight="1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  <c r="K152" s="9">
        <f t="shared" si="2"/>
        <v>66677.66</v>
      </c>
    </row>
    <row r="153" spans="1:11" ht="15.75" customHeight="1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  <c r="K153" s="9">
        <f t="shared" si="2"/>
        <v>15857.4</v>
      </c>
    </row>
    <row r="154" spans="1:11" ht="15.75" customHeight="1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  <c r="K154" s="9">
        <f t="shared" si="2"/>
        <v>94112.079999999987</v>
      </c>
    </row>
    <row r="155" spans="1:11" ht="15.75" customHeight="1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  <c r="K155" s="9">
        <f t="shared" si="2"/>
        <v>204588.75</v>
      </c>
    </row>
    <row r="156" spans="1:11" ht="15.75" customHeight="1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  <c r="K156" s="9">
        <f t="shared" si="2"/>
        <v>117897</v>
      </c>
    </row>
    <row r="157" spans="1:11" ht="15.75" customHeight="1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  <c r="K157" s="9">
        <f t="shared" si="2"/>
        <v>220772.37</v>
      </c>
    </row>
    <row r="158" spans="1:11" ht="15.75" customHeight="1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I158">
        <v>249.65</v>
      </c>
      <c r="J158" s="2">
        <v>220.75</v>
      </c>
      <c r="K158" s="9">
        <f t="shared" si="2"/>
        <v>3994.4</v>
      </c>
    </row>
    <row r="159" spans="1:11" ht="15.75" customHeight="1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  <c r="K159" s="9">
        <f t="shared" si="2"/>
        <v>12735.699999999999</v>
      </c>
    </row>
    <row r="160" spans="1:11" ht="15.75" customHeight="1">
      <c r="A160" s="2" t="s">
        <v>187</v>
      </c>
      <c r="B160" s="2" t="s">
        <v>22</v>
      </c>
      <c r="C160" s="2" t="s">
        <v>31</v>
      </c>
      <c r="D160" t="s">
        <v>13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  <c r="K160" s="9">
        <f t="shared" si="2"/>
        <v>117446.84</v>
      </c>
    </row>
    <row r="161" spans="1:11" ht="15.75" customHeight="1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  <c r="K161" s="9">
        <f t="shared" si="2"/>
        <v>7456.6799999999994</v>
      </c>
    </row>
    <row r="162" spans="1:11" ht="15.75" customHeight="1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  <c r="K162" s="9">
        <f t="shared" si="2"/>
        <v>11990.55</v>
      </c>
    </row>
    <row r="163" spans="1:11" ht="15.75" customHeight="1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  <c r="K163" s="9">
        <f t="shared" si="2"/>
        <v>114473.2</v>
      </c>
    </row>
    <row r="164" spans="1:11" ht="15.75" customHeight="1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  <c r="K164" s="9">
        <f t="shared" si="2"/>
        <v>14297.36</v>
      </c>
    </row>
    <row r="165" spans="1:11" ht="15.75" customHeight="1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  <c r="K165" s="9">
        <f t="shared" si="2"/>
        <v>184403.25</v>
      </c>
    </row>
    <row r="166" spans="1:11" ht="15.75" customHeight="1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  <c r="K166" s="9">
        <f t="shared" si="2"/>
        <v>220534.8</v>
      </c>
    </row>
    <row r="167" spans="1:11" ht="15.75" customHeight="1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  <c r="K167" s="9">
        <f t="shared" si="2"/>
        <v>176646.6</v>
      </c>
    </row>
    <row r="168" spans="1:11" ht="15.75" customHeight="1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  <c r="K168" s="9">
        <f t="shared" si="2"/>
        <v>3335.93</v>
      </c>
    </row>
    <row r="169" spans="1:11" ht="15.75" customHeight="1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  <c r="K169" s="9">
        <f t="shared" si="2"/>
        <v>70992</v>
      </c>
    </row>
    <row r="170" spans="1:11" ht="15.75" customHeight="1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  <c r="K170" s="9">
        <f t="shared" si="2"/>
        <v>2065.35</v>
      </c>
    </row>
    <row r="171" spans="1:11" ht="15.75" customHeight="1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  <c r="K171" s="9">
        <f t="shared" si="2"/>
        <v>160557</v>
      </c>
    </row>
    <row r="172" spans="1:11" ht="15.75" customHeight="1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  <c r="K172" s="9">
        <f t="shared" si="2"/>
        <v>168475.03</v>
      </c>
    </row>
    <row r="173" spans="1:11" ht="15.75" customHeight="1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  <c r="K173" s="9">
        <f t="shared" si="2"/>
        <v>108854.34999999999</v>
      </c>
    </row>
    <row r="174" spans="1:11" ht="15.75" customHeight="1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  <c r="K174" s="9">
        <f t="shared" si="2"/>
        <v>65238.6</v>
      </c>
    </row>
    <row r="175" spans="1:11" ht="15.75" customHeight="1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  <c r="K175" s="9">
        <f t="shared" si="2"/>
        <v>5865.34</v>
      </c>
    </row>
    <row r="176" spans="1:11" ht="15.75" customHeight="1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  <c r="K176" s="9">
        <f t="shared" si="2"/>
        <v>208351.44</v>
      </c>
    </row>
    <row r="177" spans="1:11" ht="15.75" customHeight="1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  <c r="K177" s="9">
        <f t="shared" si="2"/>
        <v>17497.079999999998</v>
      </c>
    </row>
    <row r="178" spans="1:11" ht="15.75" customHeight="1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  <c r="K178" s="9">
        <f t="shared" si="2"/>
        <v>176654.66</v>
      </c>
    </row>
    <row r="179" spans="1:11" ht="15.75" customHeight="1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  <c r="K179" s="9">
        <f t="shared" si="2"/>
        <v>95098.08</v>
      </c>
    </row>
    <row r="180" spans="1:11" ht="15.75" customHeight="1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  <c r="K180" s="9">
        <f t="shared" si="2"/>
        <v>7293.5999999999995</v>
      </c>
    </row>
    <row r="181" spans="1:11" ht="15.75" customHeight="1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  <c r="K181" s="9">
        <f t="shared" si="2"/>
        <v>91361.200000000012</v>
      </c>
    </row>
    <row r="182" spans="1:11" ht="15.75" customHeight="1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  <c r="K182" s="9">
        <f t="shared" si="2"/>
        <v>64339.200000000004</v>
      </c>
    </row>
    <row r="183" spans="1:11" ht="15.75" customHeight="1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  <c r="K183" s="9">
        <f t="shared" si="2"/>
        <v>93183.3</v>
      </c>
    </row>
    <row r="184" spans="1:11" ht="15.75" customHeight="1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  <c r="K184" s="9">
        <f t="shared" si="2"/>
        <v>50940.42</v>
      </c>
    </row>
    <row r="185" spans="1:11" ht="15.75" customHeight="1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  <c r="K185" s="9">
        <f t="shared" si="2"/>
        <v>23847.599999999999</v>
      </c>
    </row>
    <row r="186" spans="1:11" ht="15.75" customHeight="1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  <c r="K186" s="9">
        <f t="shared" si="2"/>
        <v>73651.11</v>
      </c>
    </row>
    <row r="187" spans="1:11" ht="15.75" customHeight="1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  <c r="K187" s="9">
        <f t="shared" si="2"/>
        <v>82123.47</v>
      </c>
    </row>
    <row r="188" spans="1:11" ht="15.75" customHeight="1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  <c r="K188" s="9">
        <f t="shared" si="2"/>
        <v>41736.14</v>
      </c>
    </row>
    <row r="189" spans="1:11" ht="15.75" customHeight="1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  <c r="K189" s="9">
        <f t="shared" si="2"/>
        <v>50622.080000000002</v>
      </c>
    </row>
    <row r="190" spans="1:11" ht="15.75" customHeight="1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  <c r="K190" s="9">
        <f t="shared" si="2"/>
        <v>105970.29000000001</v>
      </c>
    </row>
    <row r="191" spans="1:11" ht="15.75" customHeight="1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  <c r="K191" s="9">
        <f t="shared" si="2"/>
        <v>1140.18</v>
      </c>
    </row>
    <row r="192" spans="1:11" ht="15.75" customHeight="1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  <c r="K192" s="9">
        <f t="shared" si="2"/>
        <v>9163.6</v>
      </c>
    </row>
    <row r="193" spans="1:11" ht="15.75" customHeight="1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  <c r="K193" s="9">
        <f t="shared" si="2"/>
        <v>41361.839999999997</v>
      </c>
    </row>
    <row r="194" spans="1:11" ht="15.75" customHeight="1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  <c r="K194" s="9">
        <f t="shared" si="2"/>
        <v>11630.88</v>
      </c>
    </row>
    <row r="195" spans="1:11" ht="15.75" customHeight="1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  <c r="K195" s="9">
        <f t="shared" ref="K195:K258" si="3">H195*I195</f>
        <v>77699.520000000004</v>
      </c>
    </row>
    <row r="196" spans="1:11" ht="15.75" customHeight="1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  <c r="K196" s="9">
        <f t="shared" si="3"/>
        <v>87441.12</v>
      </c>
    </row>
    <row r="197" spans="1:11" ht="15.75" customHeight="1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  <c r="K197" s="9">
        <f t="shared" si="3"/>
        <v>106926.77</v>
      </c>
    </row>
    <row r="198" spans="1:11" ht="15.75" customHeight="1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  <c r="K198" s="9">
        <f t="shared" si="3"/>
        <v>116615.1</v>
      </c>
    </row>
    <row r="199" spans="1:11" ht="15.75" customHeight="1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  <c r="K199" s="9">
        <f t="shared" si="3"/>
        <v>190533.15000000002</v>
      </c>
    </row>
    <row r="200" spans="1:11" ht="15.75" customHeight="1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  <c r="K200" s="9">
        <f t="shared" si="3"/>
        <v>46212.55</v>
      </c>
    </row>
    <row r="201" spans="1:11" ht="15.75" customHeight="1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H201">
        <v>256</v>
      </c>
      <c r="I201" s="2">
        <v>407.81</v>
      </c>
      <c r="J201" s="2">
        <v>351.95</v>
      </c>
      <c r="K201" s="9">
        <f t="shared" si="3"/>
        <v>104399.36</v>
      </c>
    </row>
    <row r="202" spans="1:11" ht="15.75" customHeight="1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  <c r="K202" s="9">
        <f t="shared" si="3"/>
        <v>1767.3</v>
      </c>
    </row>
    <row r="203" spans="1:11" ht="15.75" customHeight="1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  <c r="K203" s="9">
        <f t="shared" si="3"/>
        <v>24570</v>
      </c>
    </row>
    <row r="204" spans="1:11" ht="15.75" customHeight="1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  <c r="K204" s="9">
        <f t="shared" si="3"/>
        <v>125666.64</v>
      </c>
    </row>
    <row r="205" spans="1:11" ht="15.75" customHeight="1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  <c r="K205" s="9">
        <f t="shared" si="3"/>
        <v>46408.799999999996</v>
      </c>
    </row>
    <row r="206" spans="1:11" ht="15.75" customHeight="1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  <c r="K206" s="9">
        <f t="shared" si="3"/>
        <v>108913.92</v>
      </c>
    </row>
    <row r="207" spans="1:11" ht="15.75" customHeight="1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  <c r="K207" s="9">
        <f t="shared" si="3"/>
        <v>18619.530000000002</v>
      </c>
    </row>
    <row r="208" spans="1:11" ht="15.75" customHeight="1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  <c r="K208" s="9">
        <f t="shared" si="3"/>
        <v>75056.159999999989</v>
      </c>
    </row>
    <row r="209" spans="1:11" ht="15.75" customHeight="1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  <c r="K209" s="9">
        <f t="shared" si="3"/>
        <v>58453.2</v>
      </c>
    </row>
    <row r="210" spans="1:11" ht="15.75" customHeight="1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  <c r="K210" s="9">
        <f t="shared" si="3"/>
        <v>161626.5</v>
      </c>
    </row>
    <row r="211" spans="1:11" ht="15.75" customHeight="1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  <c r="K211" s="9">
        <f t="shared" si="3"/>
        <v>121510.62</v>
      </c>
    </row>
    <row r="212" spans="1:11" ht="15.75" customHeight="1">
      <c r="A212" s="2" t="s">
        <v>239</v>
      </c>
      <c r="B212" s="2" t="s">
        <v>11</v>
      </c>
      <c r="C212" s="2" t="s">
        <v>50</v>
      </c>
      <c r="D212" t="s">
        <v>13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  <c r="K212" s="9">
        <f t="shared" si="3"/>
        <v>163183.67999999999</v>
      </c>
    </row>
    <row r="213" spans="1:11" ht="15.75" customHeight="1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  <c r="K213" s="9">
        <f t="shared" si="3"/>
        <v>58062.48</v>
      </c>
    </row>
    <row r="214" spans="1:11" ht="15.75" customHeight="1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  <c r="K214" s="9">
        <f t="shared" si="3"/>
        <v>30074.29</v>
      </c>
    </row>
    <row r="215" spans="1:11" ht="15.75" customHeight="1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  <c r="K215" s="9">
        <f t="shared" si="3"/>
        <v>15668.92</v>
      </c>
    </row>
    <row r="216" spans="1:11" ht="15.75" customHeight="1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  <c r="K216" s="9">
        <f t="shared" si="3"/>
        <v>205828.36000000002</v>
      </c>
    </row>
    <row r="217" spans="1:11" ht="15.75" customHeight="1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  <c r="K217" s="9">
        <f t="shared" si="3"/>
        <v>7897.68</v>
      </c>
    </row>
    <row r="218" spans="1:11" ht="15.75" customHeight="1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  <c r="K218" s="9">
        <f t="shared" si="3"/>
        <v>33026.939999999995</v>
      </c>
    </row>
    <row r="219" spans="1:11" ht="15.75" customHeight="1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  <c r="K219" s="9">
        <f t="shared" si="3"/>
        <v>46575.86</v>
      </c>
    </row>
    <row r="220" spans="1:11" ht="15.75" customHeight="1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  <c r="K220" s="9">
        <f t="shared" si="3"/>
        <v>41658.400000000001</v>
      </c>
    </row>
    <row r="221" spans="1:11" ht="15.75" customHeight="1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  <c r="K221" s="9">
        <f t="shared" si="3"/>
        <v>33330.99</v>
      </c>
    </row>
    <row r="222" spans="1:11" ht="15.75" customHeight="1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  <c r="K222" s="9">
        <f t="shared" si="3"/>
        <v>25325.7</v>
      </c>
    </row>
    <row r="223" spans="1:11" ht="15.75" customHeight="1">
      <c r="A223" s="2" t="s">
        <v>250</v>
      </c>
      <c r="B223" t="s">
        <v>17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  <c r="K223" s="9">
        <f t="shared" si="3"/>
        <v>89760.51</v>
      </c>
    </row>
    <row r="224" spans="1:11" ht="15.75" customHeight="1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  <c r="K224" s="9">
        <f t="shared" si="3"/>
        <v>5542.53</v>
      </c>
    </row>
    <row r="225" spans="1:11" ht="15.75" customHeight="1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  <c r="K225" s="9">
        <f t="shared" si="3"/>
        <v>95286.099999999991</v>
      </c>
    </row>
    <row r="226" spans="1:11" ht="15.75" customHeight="1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  <c r="K226" s="9">
        <f t="shared" si="3"/>
        <v>130242</v>
      </c>
    </row>
    <row r="227" spans="1:11" ht="15.75" customHeight="1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  <c r="K227" s="9">
        <f t="shared" si="3"/>
        <v>58257.990000000005</v>
      </c>
    </row>
    <row r="228" spans="1:11" ht="15.75" customHeight="1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  <c r="K228" s="9">
        <f t="shared" si="3"/>
        <v>10532.16</v>
      </c>
    </row>
    <row r="229" spans="1:11" ht="15.75" customHeight="1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H229">
        <v>256</v>
      </c>
      <c r="I229" s="2">
        <v>49.37</v>
      </c>
      <c r="J229" s="2">
        <v>39.32</v>
      </c>
      <c r="K229" s="9">
        <f t="shared" si="3"/>
        <v>12638.72</v>
      </c>
    </row>
    <row r="230" spans="1:11" ht="15.75" customHeight="1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  <c r="K230" s="9">
        <f t="shared" si="3"/>
        <v>24855.870000000003</v>
      </c>
    </row>
    <row r="231" spans="1:11" ht="15.75" customHeight="1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  <c r="K231" s="9">
        <f t="shared" si="3"/>
        <v>89095.049999999988</v>
      </c>
    </row>
    <row r="232" spans="1:11" ht="15.75" customHeight="1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  <c r="K232" s="9">
        <f t="shared" si="3"/>
        <v>235447.36000000002</v>
      </c>
    </row>
    <row r="233" spans="1:11" ht="15.75" customHeight="1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  <c r="K233" s="9">
        <f t="shared" si="3"/>
        <v>63520.380000000005</v>
      </c>
    </row>
    <row r="234" spans="1:11" ht="15.75" customHeight="1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  <c r="K234" s="9">
        <f t="shared" si="3"/>
        <v>26890.26</v>
      </c>
    </row>
    <row r="235" spans="1:11" ht="15.75" customHeight="1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  <c r="K235" s="9">
        <f t="shared" si="3"/>
        <v>20988</v>
      </c>
    </row>
    <row r="236" spans="1:11" ht="15.75" customHeight="1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  <c r="K236" s="9">
        <f t="shared" si="3"/>
        <v>7316.97</v>
      </c>
    </row>
    <row r="237" spans="1:11" ht="15.75" customHeight="1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  <c r="K237" s="9">
        <f t="shared" si="3"/>
        <v>35278.32</v>
      </c>
    </row>
    <row r="238" spans="1:11" ht="15.75" customHeight="1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  <c r="K238" s="9">
        <f t="shared" si="3"/>
        <v>3469.32</v>
      </c>
    </row>
    <row r="239" spans="1:11" ht="15.75" customHeight="1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  <c r="K239" s="9">
        <f t="shared" si="3"/>
        <v>27662.28</v>
      </c>
    </row>
    <row r="240" spans="1:11" ht="15.75" customHeight="1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  <c r="K240" s="9">
        <f t="shared" si="3"/>
        <v>23466.66</v>
      </c>
    </row>
    <row r="241" spans="1:11" ht="15.75" customHeight="1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  <c r="K241" s="9">
        <f t="shared" si="3"/>
        <v>20111.52</v>
      </c>
    </row>
    <row r="242" spans="1:11" ht="15.75" customHeight="1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  <c r="K242" s="9">
        <f t="shared" si="3"/>
        <v>181878.84</v>
      </c>
    </row>
    <row r="243" spans="1:11" ht="15.75" customHeight="1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  <c r="K243" s="9">
        <f t="shared" si="3"/>
        <v>77020.12</v>
      </c>
    </row>
    <row r="244" spans="1:11" ht="15.75" customHeight="1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  <c r="K244" s="9">
        <f t="shared" si="3"/>
        <v>21972.559999999998</v>
      </c>
    </row>
    <row r="245" spans="1:11" ht="15.75" customHeight="1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  <c r="K245" s="9">
        <f t="shared" si="3"/>
        <v>178645.6</v>
      </c>
    </row>
    <row r="246" spans="1:11" ht="15.75" customHeight="1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  <c r="K246" s="9">
        <f t="shared" si="3"/>
        <v>36079.1</v>
      </c>
    </row>
    <row r="247" spans="1:11" ht="15.75" customHeight="1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  <c r="K247" s="9">
        <f t="shared" si="3"/>
        <v>8765.4600000000009</v>
      </c>
    </row>
    <row r="248" spans="1:11" ht="15.75" customHeight="1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  <c r="K248" s="9">
        <f t="shared" si="3"/>
        <v>19691.75</v>
      </c>
    </row>
    <row r="249" spans="1:11" ht="15.75" customHeight="1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  <c r="K249" s="9">
        <f t="shared" si="3"/>
        <v>2430.36</v>
      </c>
    </row>
    <row r="250" spans="1:11" ht="15.75" customHeight="1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  <c r="K250" s="9">
        <f t="shared" si="3"/>
        <v>127036.8</v>
      </c>
    </row>
    <row r="251" spans="1:11" ht="15.75" customHeight="1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  <c r="K251" s="9">
        <f t="shared" si="3"/>
        <v>107384.12999999999</v>
      </c>
    </row>
    <row r="252" spans="1:11" ht="15.75" customHeight="1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H252">
        <v>256</v>
      </c>
      <c r="I252" s="2">
        <v>298.8</v>
      </c>
      <c r="J252" s="2">
        <v>333.41</v>
      </c>
      <c r="K252" s="9">
        <f t="shared" si="3"/>
        <v>76492.800000000003</v>
      </c>
    </row>
    <row r="253" spans="1:11" ht="15.75" customHeight="1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  <c r="K253" s="9">
        <f t="shared" si="3"/>
        <v>9549.5999999999985</v>
      </c>
    </row>
    <row r="254" spans="1:11" ht="15.75" customHeight="1">
      <c r="A254" s="2" t="s">
        <v>281</v>
      </c>
      <c r="B254" s="2" t="s">
        <v>17</v>
      </c>
      <c r="C254" s="2" t="s">
        <v>12</v>
      </c>
      <c r="D254" t="s">
        <v>13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  <c r="K254" s="9">
        <f t="shared" si="3"/>
        <v>52661.34</v>
      </c>
    </row>
    <row r="255" spans="1:11" ht="15.75" customHeight="1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  <c r="K255" s="9">
        <f t="shared" si="3"/>
        <v>21138.81</v>
      </c>
    </row>
    <row r="256" spans="1:11" ht="15.75" customHeight="1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  <c r="K256" s="9">
        <f t="shared" si="3"/>
        <v>39469.700000000004</v>
      </c>
    </row>
    <row r="257" spans="1:11" ht="15.75" customHeight="1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  <c r="K257" s="9">
        <f t="shared" si="3"/>
        <v>210386.88</v>
      </c>
    </row>
    <row r="258" spans="1:11" ht="15.75" customHeight="1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I258">
        <v>249.65</v>
      </c>
      <c r="J258" s="2">
        <v>337.1</v>
      </c>
      <c r="K258" s="9">
        <f t="shared" si="3"/>
        <v>70401.3</v>
      </c>
    </row>
    <row r="259" spans="1:11" ht="15.75" customHeight="1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  <c r="K259" s="9">
        <f t="shared" ref="K259:K322" si="4">H259*I259</f>
        <v>109691.14000000001</v>
      </c>
    </row>
    <row r="260" spans="1:11" ht="15.75" customHeight="1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  <c r="K260" s="9">
        <f t="shared" si="4"/>
        <v>32227.3</v>
      </c>
    </row>
    <row r="261" spans="1:11" ht="15.75" customHeight="1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  <c r="K261" s="9">
        <f t="shared" si="4"/>
        <v>53927.48</v>
      </c>
    </row>
    <row r="262" spans="1:11" ht="15.75" customHeight="1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I262">
        <v>249.65</v>
      </c>
      <c r="J262" s="2">
        <v>155.38</v>
      </c>
      <c r="K262" s="9">
        <f t="shared" si="4"/>
        <v>59167.05</v>
      </c>
    </row>
    <row r="263" spans="1:11" ht="15.75" customHeight="1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  <c r="K263" s="9">
        <f t="shared" si="4"/>
        <v>7673.94</v>
      </c>
    </row>
    <row r="264" spans="1:11" ht="15.75" customHeight="1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  <c r="K264" s="9">
        <f t="shared" si="4"/>
        <v>59038</v>
      </c>
    </row>
    <row r="265" spans="1:11" ht="15.75" customHeight="1">
      <c r="A265" s="2" t="s">
        <v>292</v>
      </c>
      <c r="B265" s="2" t="s">
        <v>22</v>
      </c>
      <c r="C265" s="2" t="s">
        <v>18</v>
      </c>
      <c r="D265" t="s">
        <v>13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  <c r="K265" s="9">
        <f t="shared" si="4"/>
        <v>178922.52000000002</v>
      </c>
    </row>
    <row r="266" spans="1:11" ht="15.75" customHeight="1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  <c r="K266" s="9">
        <f t="shared" si="4"/>
        <v>174173.97</v>
      </c>
    </row>
    <row r="267" spans="1:11" ht="15.75" customHeight="1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  <c r="K267" s="9">
        <f t="shared" si="4"/>
        <v>25944.799999999999</v>
      </c>
    </row>
    <row r="268" spans="1:11" ht="15.75" customHeight="1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  <c r="K268" s="9">
        <f t="shared" si="4"/>
        <v>47911.549999999996</v>
      </c>
    </row>
    <row r="269" spans="1:11" ht="15.75" customHeight="1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  <c r="K269" s="9">
        <f t="shared" si="4"/>
        <v>10171.980000000001</v>
      </c>
    </row>
    <row r="270" spans="1:11" ht="15.75" customHeight="1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  <c r="K270" s="9">
        <f t="shared" si="4"/>
        <v>47968.799999999996</v>
      </c>
    </row>
    <row r="271" spans="1:11" ht="15.75" customHeight="1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  <c r="K271" s="9">
        <f t="shared" si="4"/>
        <v>153653.84</v>
      </c>
    </row>
    <row r="272" spans="1:11" ht="15.75" customHeight="1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  <c r="K272" s="9">
        <f t="shared" si="4"/>
        <v>19365.48</v>
      </c>
    </row>
    <row r="273" spans="1:11" ht="15.75" customHeight="1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  <c r="K273" s="9">
        <f t="shared" si="4"/>
        <v>109080</v>
      </c>
    </row>
    <row r="274" spans="1:11" ht="15.75" customHeight="1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  <c r="K274" s="9">
        <f t="shared" si="4"/>
        <v>6813.09</v>
      </c>
    </row>
    <row r="275" spans="1:11" ht="15.75" customHeight="1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  <c r="K275" s="9">
        <f t="shared" si="4"/>
        <v>34147.979999999996</v>
      </c>
    </row>
    <row r="276" spans="1:11" ht="15.75" customHeight="1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  <c r="K276" s="9">
        <f t="shared" si="4"/>
        <v>25935.46</v>
      </c>
    </row>
    <row r="277" spans="1:11" ht="15.75" customHeight="1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  <c r="K277" s="9">
        <f t="shared" si="4"/>
        <v>8671.86</v>
      </c>
    </row>
    <row r="278" spans="1:11" ht="15.75" customHeight="1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  <c r="K278" s="9">
        <f t="shared" si="4"/>
        <v>91745.94</v>
      </c>
    </row>
    <row r="279" spans="1:11" ht="15.75" customHeight="1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  <c r="K279" s="9">
        <f t="shared" si="4"/>
        <v>37401.279999999999</v>
      </c>
    </row>
    <row r="280" spans="1:11" ht="15.75" customHeight="1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  <c r="K280" s="9">
        <f t="shared" si="4"/>
        <v>154792.95000000001</v>
      </c>
    </row>
    <row r="281" spans="1:11" ht="15.75" customHeight="1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  <c r="K281" s="9">
        <f t="shared" si="4"/>
        <v>11166.259999999998</v>
      </c>
    </row>
    <row r="282" spans="1:11" ht="15.75" customHeight="1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  <c r="K282" s="9">
        <f t="shared" si="4"/>
        <v>26087.460000000003</v>
      </c>
    </row>
    <row r="283" spans="1:11" ht="15.75" customHeight="1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  <c r="K283" s="9">
        <f t="shared" si="4"/>
        <v>52837.5</v>
      </c>
    </row>
    <row r="284" spans="1:11" ht="15.75" customHeight="1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  <c r="K284" s="9">
        <f t="shared" si="4"/>
        <v>31256.160000000003</v>
      </c>
    </row>
    <row r="285" spans="1:11" ht="15.75" customHeight="1">
      <c r="A285" s="2" t="s">
        <v>312</v>
      </c>
      <c r="B285" s="2" t="s">
        <v>11</v>
      </c>
      <c r="C285" s="2" t="s">
        <v>12</v>
      </c>
      <c r="D285" t="s">
        <v>13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  <c r="K285" s="9">
        <f t="shared" si="4"/>
        <v>59419.5</v>
      </c>
    </row>
    <row r="286" spans="1:11" ht="15.75" customHeight="1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  <c r="K286" s="9">
        <f t="shared" si="4"/>
        <v>9189.74</v>
      </c>
    </row>
    <row r="287" spans="1:11" ht="15.75" customHeight="1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  <c r="K287" s="9">
        <f t="shared" si="4"/>
        <v>4513.3999999999996</v>
      </c>
    </row>
    <row r="288" spans="1:11" ht="15.75" customHeight="1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  <c r="K288" s="9">
        <f t="shared" si="4"/>
        <v>112728.4</v>
      </c>
    </row>
    <row r="289" spans="1:11" ht="15.75" customHeight="1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I289">
        <v>249.65</v>
      </c>
      <c r="J289" s="2">
        <v>278.77999999999997</v>
      </c>
      <c r="K289" s="9">
        <f t="shared" si="4"/>
        <v>56420.9</v>
      </c>
    </row>
    <row r="290" spans="1:11" ht="15.75" customHeight="1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H290">
        <v>256</v>
      </c>
      <c r="I290" s="2">
        <v>173.84</v>
      </c>
      <c r="J290" s="2">
        <v>298.88</v>
      </c>
      <c r="K290" s="9">
        <f t="shared" si="4"/>
        <v>44503.040000000001</v>
      </c>
    </row>
    <row r="291" spans="1:11" ht="15.75" customHeight="1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  <c r="K291" s="9">
        <f t="shared" si="4"/>
        <v>45538.86</v>
      </c>
    </row>
    <row r="292" spans="1:11" ht="15.75" customHeight="1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  <c r="K292" s="9">
        <f t="shared" si="4"/>
        <v>131758.06</v>
      </c>
    </row>
    <row r="293" spans="1:11" ht="15.75" customHeight="1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  <c r="K293" s="9">
        <f t="shared" si="4"/>
        <v>68943.930000000008</v>
      </c>
    </row>
    <row r="294" spans="1:11" ht="15.75" customHeight="1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  <c r="K294" s="9">
        <f t="shared" si="4"/>
        <v>125091.48000000001</v>
      </c>
    </row>
    <row r="295" spans="1:11" ht="15.75" customHeight="1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H295">
        <v>256</v>
      </c>
      <c r="I295" s="2">
        <v>387.45</v>
      </c>
      <c r="J295" s="2">
        <v>150.63999999999999</v>
      </c>
      <c r="K295" s="9">
        <f t="shared" si="4"/>
        <v>99187.199999999997</v>
      </c>
    </row>
    <row r="296" spans="1:11" ht="15.75" customHeight="1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  <c r="K296" s="9">
        <f t="shared" si="4"/>
        <v>25590.560000000001</v>
      </c>
    </row>
    <row r="297" spans="1:11" ht="15.75" customHeight="1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  <c r="K297" s="9">
        <f t="shared" si="4"/>
        <v>31468.74</v>
      </c>
    </row>
    <row r="298" spans="1:11" ht="15.75" customHeight="1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  <c r="K298" s="9">
        <f t="shared" si="4"/>
        <v>14994.999999999998</v>
      </c>
    </row>
    <row r="299" spans="1:11" ht="15.75" customHeight="1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  <c r="K299" s="9">
        <f t="shared" si="4"/>
        <v>83471.899999999994</v>
      </c>
    </row>
    <row r="300" spans="1:11" ht="15.75" customHeight="1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  <c r="K300" s="9">
        <f t="shared" si="4"/>
        <v>15864.4</v>
      </c>
    </row>
    <row r="301" spans="1:11" ht="15.75" customHeight="1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  <c r="K301" s="9">
        <f t="shared" si="4"/>
        <v>67573.16</v>
      </c>
    </row>
    <row r="302" spans="1:11" ht="15.75" customHeight="1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  <c r="K302" s="9">
        <f t="shared" si="4"/>
        <v>17076.95</v>
      </c>
    </row>
    <row r="303" spans="1:11" ht="15.75" customHeight="1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  <c r="K303" s="9">
        <f t="shared" si="4"/>
        <v>37854.310000000005</v>
      </c>
    </row>
    <row r="304" spans="1:11" ht="15.75" customHeight="1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  <c r="K304" s="9">
        <f t="shared" si="4"/>
        <v>196715.44</v>
      </c>
    </row>
    <row r="305" spans="1:11" ht="15.75" customHeight="1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  <c r="K305" s="9">
        <f t="shared" si="4"/>
        <v>29944.05</v>
      </c>
    </row>
    <row r="306" spans="1:11" ht="15.75" customHeight="1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  <c r="K306" s="9">
        <f t="shared" si="4"/>
        <v>12638.779999999999</v>
      </c>
    </row>
    <row r="307" spans="1:11" ht="15.75" customHeight="1">
      <c r="A307" s="2" t="s">
        <v>334</v>
      </c>
      <c r="B307" s="2" t="s">
        <v>22</v>
      </c>
      <c r="C307" s="2" t="s">
        <v>12</v>
      </c>
      <c r="D307" t="s">
        <v>13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  <c r="K307" s="9">
        <f t="shared" si="4"/>
        <v>30578.6</v>
      </c>
    </row>
    <row r="308" spans="1:11" ht="15.75" customHeight="1">
      <c r="A308" s="2" t="s">
        <v>335</v>
      </c>
      <c r="B308" s="2" t="s">
        <v>17</v>
      </c>
      <c r="C308" s="2" t="s">
        <v>31</v>
      </c>
      <c r="D308" t="s">
        <v>13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  <c r="K308" s="9">
        <f t="shared" si="4"/>
        <v>14061.22</v>
      </c>
    </row>
    <row r="309" spans="1:11" ht="15.75" customHeight="1">
      <c r="A309" s="2" t="s">
        <v>336</v>
      </c>
      <c r="B309" s="2" t="s">
        <v>48</v>
      </c>
      <c r="C309" s="2" t="s">
        <v>50</v>
      </c>
      <c r="D309" t="s">
        <v>13</v>
      </c>
      <c r="E309" s="2" t="s">
        <v>14</v>
      </c>
      <c r="F309" s="2" t="s">
        <v>28</v>
      </c>
      <c r="G309" s="3">
        <v>45234</v>
      </c>
      <c r="H309" s="2">
        <v>157</v>
      </c>
      <c r="I309">
        <v>249.65</v>
      </c>
      <c r="J309" s="2">
        <v>274.99</v>
      </c>
      <c r="K309" s="9">
        <f t="shared" si="4"/>
        <v>39195.050000000003</v>
      </c>
    </row>
    <row r="310" spans="1:11" ht="15.75" customHeight="1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  <c r="K310" s="9">
        <f t="shared" si="4"/>
        <v>58083.9</v>
      </c>
    </row>
    <row r="311" spans="1:11" ht="15.75" customHeight="1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  <c r="K311" s="9">
        <f t="shared" si="4"/>
        <v>25163.86</v>
      </c>
    </row>
    <row r="312" spans="1:11" ht="15.75" customHeight="1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  <c r="K312" s="9">
        <f t="shared" si="4"/>
        <v>100087.95</v>
      </c>
    </row>
    <row r="313" spans="1:11" ht="15.75" customHeight="1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  <c r="K313" s="9">
        <f t="shared" si="4"/>
        <v>42164.25</v>
      </c>
    </row>
    <row r="314" spans="1:11" ht="15.75" customHeight="1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  <c r="K314" s="9">
        <f t="shared" si="4"/>
        <v>7758.41</v>
      </c>
    </row>
    <row r="315" spans="1:11" ht="15.75" customHeight="1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H315">
        <v>256</v>
      </c>
      <c r="I315" s="2">
        <v>192.35</v>
      </c>
      <c r="J315" s="2">
        <v>227.09</v>
      </c>
      <c r="K315" s="9">
        <f t="shared" si="4"/>
        <v>49241.599999999999</v>
      </c>
    </row>
    <row r="316" spans="1:11" ht="15.75" customHeight="1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  <c r="K316" s="9">
        <f t="shared" si="4"/>
        <v>2031.26</v>
      </c>
    </row>
    <row r="317" spans="1:11" ht="15.75" customHeight="1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  <c r="K317" s="9">
        <f t="shared" si="4"/>
        <v>116475.84</v>
      </c>
    </row>
    <row r="318" spans="1:11" ht="15.75" customHeight="1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H318">
        <v>256</v>
      </c>
      <c r="I318" s="2">
        <v>225.94</v>
      </c>
      <c r="J318" s="2">
        <v>280.7</v>
      </c>
      <c r="K318" s="9">
        <f t="shared" si="4"/>
        <v>57840.639999999999</v>
      </c>
    </row>
    <row r="319" spans="1:11" ht="15.75" customHeight="1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  <c r="K319" s="9">
        <f t="shared" si="4"/>
        <v>41169.040000000001</v>
      </c>
    </row>
    <row r="320" spans="1:11" ht="15.75" customHeight="1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  <c r="K320" s="9">
        <f t="shared" si="4"/>
        <v>137399.79999999999</v>
      </c>
    </row>
    <row r="321" spans="1:11" ht="15.75" customHeight="1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  <c r="K321" s="9">
        <f t="shared" si="4"/>
        <v>20701.62</v>
      </c>
    </row>
    <row r="322" spans="1:11" ht="15.75" customHeight="1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  <c r="K322" s="9">
        <f t="shared" si="4"/>
        <v>204914.52</v>
      </c>
    </row>
    <row r="323" spans="1:11" ht="15.75" customHeight="1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  <c r="K323" s="9">
        <f t="shared" ref="K323:K351" si="5">H323*I323</f>
        <v>27460.66</v>
      </c>
    </row>
    <row r="324" spans="1:11" ht="15.75" customHeight="1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  <c r="K324" s="9">
        <f t="shared" si="5"/>
        <v>47330</v>
      </c>
    </row>
    <row r="325" spans="1:11" ht="15.75" customHeight="1">
      <c r="A325" s="2" t="s">
        <v>352</v>
      </c>
      <c r="B325" s="2" t="s">
        <v>48</v>
      </c>
      <c r="C325" s="2" t="s">
        <v>18</v>
      </c>
      <c r="D325" t="s">
        <v>13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  <c r="K325" s="9">
        <f t="shared" si="5"/>
        <v>14570.57</v>
      </c>
    </row>
    <row r="326" spans="1:11" ht="15.75" customHeight="1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  <c r="K326" s="9">
        <f t="shared" si="5"/>
        <v>86191.35</v>
      </c>
    </row>
    <row r="327" spans="1:11" ht="15.75" customHeight="1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  <c r="K327" s="9">
        <f t="shared" si="5"/>
        <v>23993.759999999998</v>
      </c>
    </row>
    <row r="328" spans="1:11" ht="15.75" customHeight="1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  <c r="K328" s="9">
        <f t="shared" si="5"/>
        <v>83593.37000000001</v>
      </c>
    </row>
    <row r="329" spans="1:11" ht="15.75" customHeight="1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H329">
        <v>256</v>
      </c>
      <c r="I329" s="2">
        <v>5.61</v>
      </c>
      <c r="J329" s="2">
        <v>193.4</v>
      </c>
      <c r="K329" s="9">
        <f t="shared" si="5"/>
        <v>1436.16</v>
      </c>
    </row>
    <row r="330" spans="1:11" ht="15.75" customHeight="1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  <c r="K330" s="9">
        <f t="shared" si="5"/>
        <v>56642.559999999998</v>
      </c>
    </row>
    <row r="331" spans="1:11" ht="15.75" customHeight="1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  <c r="K331" s="9">
        <f t="shared" si="5"/>
        <v>48580.29</v>
      </c>
    </row>
    <row r="332" spans="1:11" ht="15.75" customHeight="1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  <c r="K332" s="9">
        <f t="shared" si="5"/>
        <v>43932.81</v>
      </c>
    </row>
    <row r="333" spans="1:11" ht="15.75" customHeight="1">
      <c r="A333" s="2" t="s">
        <v>360</v>
      </c>
      <c r="B333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  <c r="K333" s="9">
        <f t="shared" si="5"/>
        <v>25459.85</v>
      </c>
    </row>
    <row r="334" spans="1:11" ht="15.75" customHeight="1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  <c r="K334" s="9">
        <f t="shared" si="5"/>
        <v>9776.64</v>
      </c>
    </row>
    <row r="335" spans="1:11" ht="15.75" customHeight="1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  <c r="K335" s="9">
        <f t="shared" si="5"/>
        <v>239220.11</v>
      </c>
    </row>
    <row r="336" spans="1:11" ht="15.75" customHeight="1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  <c r="K336" s="9">
        <f t="shared" si="5"/>
        <v>1714.65</v>
      </c>
    </row>
    <row r="337" spans="1:11" ht="15.75" customHeight="1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  <c r="K337" s="9">
        <f t="shared" si="5"/>
        <v>142041.59999999998</v>
      </c>
    </row>
    <row r="338" spans="1:11" ht="15.75" customHeight="1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  <c r="K338" s="9">
        <f t="shared" si="5"/>
        <v>168446.02</v>
      </c>
    </row>
    <row r="339" spans="1:11" ht="15.75" customHeight="1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  <c r="K339" s="9">
        <f t="shared" si="5"/>
        <v>39441.54</v>
      </c>
    </row>
    <row r="340" spans="1:11" ht="15.75" customHeight="1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  <c r="K340" s="9">
        <f t="shared" si="5"/>
        <v>124507.98000000001</v>
      </c>
    </row>
    <row r="341" spans="1:11" ht="15.75" customHeight="1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  <c r="K341" s="9">
        <f t="shared" si="5"/>
        <v>23868</v>
      </c>
    </row>
    <row r="342" spans="1:11" ht="15.75" customHeight="1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  <c r="K342" s="9">
        <f t="shared" si="5"/>
        <v>43110.240000000005</v>
      </c>
    </row>
    <row r="343" spans="1:11" ht="15.75" customHeight="1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  <c r="K343" s="9">
        <f t="shared" si="5"/>
        <v>181704.6</v>
      </c>
    </row>
    <row r="344" spans="1:11" ht="15.75" customHeight="1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  <c r="K344" s="9">
        <f t="shared" si="5"/>
        <v>57158.64</v>
      </c>
    </row>
    <row r="345" spans="1:11" ht="15.75" customHeight="1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  <c r="K345" s="9">
        <f t="shared" si="5"/>
        <v>122173.79999999999</v>
      </c>
    </row>
    <row r="346" spans="1:11" ht="15.75" customHeight="1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  <c r="K346" s="9">
        <f t="shared" si="5"/>
        <v>4606.0199999999995</v>
      </c>
    </row>
    <row r="347" spans="1:11" ht="15.75" customHeight="1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  <c r="K347" s="9">
        <f t="shared" si="5"/>
        <v>22726.06</v>
      </c>
    </row>
    <row r="348" spans="1:11" ht="15.75" customHeight="1">
      <c r="A348" s="2" t="s">
        <v>375</v>
      </c>
      <c r="B348" t="s">
        <v>17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  <c r="K348" s="9">
        <f t="shared" si="5"/>
        <v>2971.6800000000003</v>
      </c>
    </row>
    <row r="349" spans="1:11" ht="15.75" customHeight="1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  <c r="K349" s="9">
        <f t="shared" si="5"/>
        <v>23272.32</v>
      </c>
    </row>
    <row r="350" spans="1:11" ht="15.75" customHeight="1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  <c r="K350" s="9">
        <f t="shared" si="5"/>
        <v>27269.280000000002</v>
      </c>
    </row>
    <row r="351" spans="1:11" ht="15.75" customHeight="1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  <c r="K351" s="9">
        <f t="shared" si="5"/>
        <v>74005.25</v>
      </c>
    </row>
    <row r="352" spans="1:11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L1:N1"/>
    <mergeCell ref="L18:M1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4D66-CE16-4A64-965B-5DE6EFDD9181}">
  <dimension ref="A1:F10"/>
  <sheetViews>
    <sheetView workbookViewId="0"/>
  </sheetViews>
  <sheetFormatPr defaultRowHeight="14.4"/>
  <cols>
    <col min="1" max="1" width="51.88671875" bestFit="1" customWidth="1"/>
    <col min="2" max="2" width="15.5546875" bestFit="1" customWidth="1"/>
    <col min="3" max="5" width="11.6640625" bestFit="1" customWidth="1"/>
    <col min="6" max="6" width="12.6640625" bestFit="1" customWidth="1"/>
  </cols>
  <sheetData>
    <row r="1" spans="1:6" ht="18">
      <c r="A1" s="15" t="s">
        <v>404</v>
      </c>
    </row>
    <row r="3" spans="1:6">
      <c r="A3" s="13" t="s">
        <v>403</v>
      </c>
      <c r="B3" s="13" t="s">
        <v>402</v>
      </c>
    </row>
    <row r="4" spans="1:6">
      <c r="A4" s="13" t="s">
        <v>400</v>
      </c>
      <c r="B4" t="s">
        <v>11</v>
      </c>
      <c r="C4" t="s">
        <v>22</v>
      </c>
      <c r="D4" t="s">
        <v>48</v>
      </c>
      <c r="E4" t="s">
        <v>17</v>
      </c>
      <c r="F4" t="s">
        <v>401</v>
      </c>
    </row>
    <row r="5" spans="1:6">
      <c r="A5" s="14" t="s">
        <v>13</v>
      </c>
      <c r="B5" s="9">
        <v>1110756.69</v>
      </c>
      <c r="C5" s="9">
        <v>1276139.23</v>
      </c>
      <c r="D5" s="9">
        <v>1199638.4600000002</v>
      </c>
      <c r="E5" s="9">
        <v>1977673.9300000004</v>
      </c>
      <c r="F5" s="9">
        <v>5564208.3100000005</v>
      </c>
    </row>
    <row r="6" spans="1:6">
      <c r="A6" s="14" t="s">
        <v>23</v>
      </c>
      <c r="B6" s="9">
        <v>1587309.5199999998</v>
      </c>
      <c r="C6" s="9">
        <v>629683.34</v>
      </c>
      <c r="D6" s="9">
        <v>496502.89000000007</v>
      </c>
      <c r="E6" s="9">
        <v>1133989.7499999998</v>
      </c>
      <c r="F6" s="9">
        <v>3847485.5</v>
      </c>
    </row>
    <row r="7" spans="1:6">
      <c r="A7" s="14" t="s">
        <v>42</v>
      </c>
      <c r="B7" s="9">
        <v>946379.68000000017</v>
      </c>
      <c r="C7" s="9">
        <v>950484.27000000025</v>
      </c>
      <c r="D7" s="9">
        <v>1068359.01</v>
      </c>
      <c r="E7" s="9">
        <v>1557978.1200000003</v>
      </c>
      <c r="F7" s="9">
        <v>4523201.080000001</v>
      </c>
    </row>
    <row r="8" spans="1:6">
      <c r="A8" s="14" t="s">
        <v>19</v>
      </c>
      <c r="B8" s="9">
        <v>886874.81</v>
      </c>
      <c r="C8" s="9">
        <v>1658465.61</v>
      </c>
      <c r="D8" s="9">
        <v>695855.67999999993</v>
      </c>
      <c r="E8" s="9">
        <v>823913.14999999991</v>
      </c>
      <c r="F8" s="9">
        <v>4065109.2499999995</v>
      </c>
    </row>
    <row r="9" spans="1:6">
      <c r="A9" s="14" t="s">
        <v>27</v>
      </c>
      <c r="B9" s="9">
        <v>1764289.84</v>
      </c>
      <c r="C9" s="9">
        <v>731274.15</v>
      </c>
      <c r="D9" s="9">
        <v>832820.25000000012</v>
      </c>
      <c r="E9" s="9">
        <v>1131299.3400000001</v>
      </c>
      <c r="F9" s="9">
        <v>4459683.58</v>
      </c>
    </row>
    <row r="10" spans="1:6">
      <c r="A10" s="14" t="s">
        <v>401</v>
      </c>
      <c r="B10" s="9">
        <v>6295610.54</v>
      </c>
      <c r="C10" s="9">
        <v>5246046.6000000006</v>
      </c>
      <c r="D10" s="9">
        <v>4293176.29</v>
      </c>
      <c r="E10" s="9">
        <v>6624854.290000001</v>
      </c>
      <c r="F10" s="9">
        <v>22459687.719999999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8F2E-FDE9-4267-9BB6-9A605E360A6C}">
  <dimension ref="A1:L52"/>
  <sheetViews>
    <sheetView zoomScale="69" workbookViewId="0">
      <pane ySplit="2" topLeftCell="A20" activePane="bottomLeft" state="frozen"/>
      <selection pane="bottomLeft" activeCell="P30" sqref="P30"/>
    </sheetView>
  </sheetViews>
  <sheetFormatPr defaultRowHeight="14.4"/>
  <cols>
    <col min="1" max="1" width="18.5546875" customWidth="1"/>
    <col min="2" max="2" width="14.77734375" customWidth="1"/>
    <col min="3" max="3" width="18.5546875" customWidth="1"/>
    <col min="4" max="4" width="14.77734375" customWidth="1"/>
    <col min="5" max="5" width="18.5546875" customWidth="1"/>
    <col min="6" max="6" width="14.77734375" customWidth="1"/>
    <col min="7" max="7" width="18.5546875" customWidth="1"/>
    <col min="8" max="8" width="14.77734375" customWidth="1"/>
    <col min="9" max="9" width="18.5546875" customWidth="1"/>
    <col min="10" max="10" width="14.77734375" customWidth="1"/>
  </cols>
  <sheetData>
    <row r="1" spans="1:10" ht="30" customHeight="1">
      <c r="A1" s="35" t="s">
        <v>408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30" customHeight="1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5.6">
      <c r="A3" s="18" t="s">
        <v>409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28.05" customHeight="1">
      <c r="A4" s="37" t="s">
        <v>413</v>
      </c>
      <c r="B4" s="38"/>
      <c r="C4" s="40" t="s">
        <v>414</v>
      </c>
      <c r="D4" s="41"/>
      <c r="E4" s="43" t="s">
        <v>415</v>
      </c>
      <c r="F4" s="44"/>
      <c r="G4" s="46" t="s">
        <v>416</v>
      </c>
      <c r="H4" s="47"/>
      <c r="I4" s="49" t="s">
        <v>417</v>
      </c>
      <c r="J4" s="34"/>
    </row>
    <row r="5" spans="1:10" ht="28.05" customHeight="1">
      <c r="A5" s="39" t="str">
        <f>TEXT(SUM(Retail_Dataset!K2:K351),"$#,##0")</f>
        <v>$22,459,688</v>
      </c>
      <c r="B5" s="38"/>
      <c r="C5" s="42" t="str">
        <f>TEXT(SUM(Retail_Dataset!H2:H351),"#,##0")</f>
        <v>89,567</v>
      </c>
      <c r="D5" s="41"/>
      <c r="E5" s="45" t="str" cm="1">
        <f t="array" ref="E5">TEXT(SUMPRODUCT((Retail_Dataset!I2:I351-Retail_Dataset!J2:J351)*Retail_Dataset!H2:H351),"$#,##0")</f>
        <v>$5,069,192</v>
      </c>
      <c r="F5" s="44"/>
      <c r="G5" s="48">
        <f>COUNTA(Retail_Dataset!A2:A351)</f>
        <v>350</v>
      </c>
      <c r="H5" s="47"/>
      <c r="I5" s="33" t="str">
        <f>TEXT(AVERAGE(Retail_Dataset!K2:K351),"$#,##0")</f>
        <v>$64,171</v>
      </c>
      <c r="J5" s="34"/>
    </row>
    <row r="7" spans="1:10">
      <c r="A7" s="20" t="s">
        <v>410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22.05" customHeight="1">
      <c r="A8" s="4" t="s">
        <v>418</v>
      </c>
      <c r="B8" s="21" t="str" cm="1">
        <f t="array" ref="B8">INDEX(Retail_Dataset!B2:B351,MATCH(MAX(SUMIF(Retail_Dataset!B2:B351,Retail_Dataset!B2:B351,Retail_Dataset!K2:K351)),SUMIF(Retail_Dataset!B2:B351,Retail_Dataset!B2:B351,Retail_Dataset!K2:K351),0))</f>
        <v>West</v>
      </c>
      <c r="C8" s="4" t="s">
        <v>419</v>
      </c>
      <c r="D8" s="22" t="str" cm="1">
        <f t="array" ref="D8">INDEX(Retail_Dataset!D2:D351,MATCH(MAX(SUMIF(Retail_Dataset!D2:D351,Retail_Dataset!D2:D351,Retail_Dataset!K2:K351)),SUMIF(Retail_Dataset!D2:D351,Retail_Dataset!D2:D351,Retail_Dataset!K2:K351),0))</f>
        <v>Beverages</v>
      </c>
      <c r="E8" s="4" t="s">
        <v>420</v>
      </c>
      <c r="F8" s="23" t="str" cm="1">
        <f t="array" ref="F8">TEXT(SUMPRODUCT((Retail_Dataset!I2:I351-Retail_Dataset!J2:J351)*Retail_Dataset!H2:H351)/COUNTA(Retail_Dataset!A2:A351),"$#,##0")</f>
        <v>$14,483</v>
      </c>
      <c r="G8" s="4" t="s">
        <v>421</v>
      </c>
      <c r="H8" s="24" t="str" cm="1">
        <f t="array" ref="H8">INDEX(Retail_Dataset!C2:C351,MATCH(MAX(SUMIF(Retail_Dataset!C2:C351,Retail_Dataset!C2:C351,Retail_Dataset!K2:K351)),SUMIF(Retail_Dataset!C2:C351,Retail_Dataset!C2:C351,Retail_Dataset!K2:K351),0))</f>
        <v>India</v>
      </c>
      <c r="I8" s="4" t="s">
        <v>422</v>
      </c>
      <c r="J8" s="25" t="str" cm="1">
        <f t="array" ref="J8">TEXT(SUMPRODUCT((Retail_Dataset!I2:I351-Retail_Dataset!J2:J351)*Retail_Dataset!H2:H351)/SUM(Retail_Dataset!K2:K351),"0.0%")</f>
        <v>22.6%</v>
      </c>
    </row>
    <row r="10" spans="1:10" ht="15.6">
      <c r="A10" s="18" t="s">
        <v>411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9.95" customHeight="1">
      <c r="A11" s="16" t="s">
        <v>426</v>
      </c>
    </row>
    <row r="12" spans="1:10" ht="19.95" customHeight="1"/>
    <row r="13" spans="1:10" ht="19.95" customHeight="1"/>
    <row r="14" spans="1:10" ht="19.95" customHeight="1"/>
    <row r="15" spans="1:10" ht="19.95" customHeight="1"/>
    <row r="16" spans="1:10" ht="19.95" customHeight="1"/>
    <row r="17" spans="1:12" ht="19.95" customHeight="1"/>
    <row r="18" spans="1:12" ht="19.95" customHeight="1"/>
    <row r="19" spans="1:12" ht="19.95" customHeight="1"/>
    <row r="20" spans="1:12" ht="19.95" customHeight="1"/>
    <row r="21" spans="1:12" ht="19.95" customHeight="1"/>
    <row r="22" spans="1:12" ht="19.95" customHeight="1"/>
    <row r="23" spans="1:12" ht="19.95" customHeight="1"/>
    <row r="24" spans="1:12" ht="19.95" customHeight="1"/>
    <row r="25" spans="1:12" ht="19.95" customHeight="1"/>
    <row r="26" spans="1:12" ht="19.95" customHeight="1"/>
    <row r="27" spans="1:12" ht="19.95" customHeight="1"/>
    <row r="28" spans="1:12" ht="19.95" customHeight="1">
      <c r="A28" s="26" t="s">
        <v>425</v>
      </c>
    </row>
    <row r="29" spans="1:12" ht="19.9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19.95" customHeight="1">
      <c r="A30" s="27" t="s">
        <v>1</v>
      </c>
      <c r="B30" s="27" t="s">
        <v>412</v>
      </c>
      <c r="C30" s="27"/>
      <c r="D30" s="27" t="s">
        <v>3</v>
      </c>
      <c r="E30" s="27" t="s">
        <v>412</v>
      </c>
      <c r="F30" s="27"/>
      <c r="G30" s="27" t="s">
        <v>407</v>
      </c>
      <c r="H30" s="27" t="s">
        <v>412</v>
      </c>
      <c r="I30" s="27"/>
      <c r="J30" s="27" t="s">
        <v>423</v>
      </c>
      <c r="K30" s="27" t="s">
        <v>424</v>
      </c>
      <c r="L30" s="28"/>
    </row>
    <row r="31" spans="1:12" ht="19.95" customHeight="1">
      <c r="A31" s="27" t="s">
        <v>11</v>
      </c>
      <c r="B31" s="27">
        <f>SUMIF(Retail_Dataset!B:B,A31,Retail_Dataset!K:K)</f>
        <v>6295610.5399999991</v>
      </c>
      <c r="C31" s="27"/>
      <c r="D31" s="27" t="s">
        <v>13</v>
      </c>
      <c r="E31" s="27">
        <f>SUMIF(Retail_Dataset!D:D,D31,Retail_Dataset!K:K)</f>
        <v>5564208.3099999987</v>
      </c>
      <c r="F31" s="27"/>
      <c r="G31" s="27" t="s">
        <v>14</v>
      </c>
      <c r="H31" s="27">
        <f>SUMIF(Retail_Dataset!E:E,G31,Retail_Dataset!K:K)</f>
        <v>12339578.910000006</v>
      </c>
      <c r="I31" s="27"/>
      <c r="J31" s="27" t="s">
        <v>15</v>
      </c>
      <c r="K31" s="27">
        <f>COUNTIF(Retail_Dataset!F:F,J31)</f>
        <v>125</v>
      </c>
      <c r="L31" s="28"/>
    </row>
    <row r="32" spans="1:12" ht="19.95" customHeight="1">
      <c r="A32" s="27" t="s">
        <v>22</v>
      </c>
      <c r="B32" s="27">
        <f>SUMIF(Retail_Dataset!B:B,A32,Retail_Dataset!K:K)</f>
        <v>5246046.5999999996</v>
      </c>
      <c r="C32" s="27"/>
      <c r="D32" s="27" t="s">
        <v>23</v>
      </c>
      <c r="E32" s="27">
        <f>SUMIF(Retail_Dataset!D:D,D32,Retail_Dataset!K:K)</f>
        <v>3847485.5000000005</v>
      </c>
      <c r="F32" s="27"/>
      <c r="G32" s="27" t="s">
        <v>24</v>
      </c>
      <c r="H32" s="27">
        <f>SUMIF(Retail_Dataset!E:E,G32,Retail_Dataset!K:K)</f>
        <v>10120108.809999999</v>
      </c>
      <c r="I32" s="27"/>
      <c r="J32" s="27" t="s">
        <v>28</v>
      </c>
      <c r="K32" s="27">
        <f>COUNTIF(Retail_Dataset!F:F,J32)</f>
        <v>116</v>
      </c>
      <c r="L32" s="28"/>
    </row>
    <row r="33" spans="1:12" ht="19.95" customHeight="1">
      <c r="A33" s="27" t="s">
        <v>48</v>
      </c>
      <c r="B33" s="27">
        <f>SUMIF(Retail_Dataset!B:B,A33,Retail_Dataset!K:K)</f>
        <v>4293176.2899999991</v>
      </c>
      <c r="C33" s="27"/>
      <c r="D33" s="27" t="s">
        <v>42</v>
      </c>
      <c r="E33" s="27">
        <f>SUMIF(Retail_Dataset!D:D,D33,Retail_Dataset!K:K)</f>
        <v>4523201.0799999982</v>
      </c>
      <c r="F33" s="27"/>
      <c r="G33" s="27"/>
      <c r="H33" s="27"/>
      <c r="I33" s="27"/>
      <c r="J33" s="27" t="s">
        <v>20</v>
      </c>
      <c r="K33" s="27">
        <f>COUNTIF(Retail_Dataset!F:F,J33)</f>
        <v>109</v>
      </c>
      <c r="L33" s="28"/>
    </row>
    <row r="34" spans="1:12" ht="19.95" customHeight="1">
      <c r="A34" s="27" t="s">
        <v>17</v>
      </c>
      <c r="B34" s="27">
        <f>SUMIF(Retail_Dataset!B:B,A34,Retail_Dataset!K:K)</f>
        <v>6624854.2899999982</v>
      </c>
      <c r="C34" s="27"/>
      <c r="D34" s="27" t="s">
        <v>19</v>
      </c>
      <c r="E34" s="27">
        <f>SUMIF(Retail_Dataset!D:D,D34,Retail_Dataset!K:K)</f>
        <v>4065109.2499999995</v>
      </c>
      <c r="F34" s="27"/>
      <c r="G34" s="27"/>
      <c r="H34" s="27"/>
      <c r="I34" s="27"/>
      <c r="J34" s="27"/>
      <c r="K34" s="27"/>
      <c r="L34" s="28"/>
    </row>
    <row r="35" spans="1:12" ht="19.95" customHeight="1">
      <c r="A35" s="27"/>
      <c r="B35" s="27"/>
      <c r="C35" s="27"/>
      <c r="D35" s="27" t="s">
        <v>27</v>
      </c>
      <c r="E35" s="27">
        <f>SUMIF(Retail_Dataset!D:D,D35,Retail_Dataset!K:K)</f>
        <v>4459683.58</v>
      </c>
      <c r="F35" s="27"/>
      <c r="G35" s="27"/>
      <c r="H35" s="27"/>
      <c r="I35" s="27"/>
      <c r="J35" s="27"/>
      <c r="K35" s="27"/>
      <c r="L35" s="28"/>
    </row>
    <row r="36" spans="1:12" ht="19.9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ht="19.9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ht="1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1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1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1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ht="1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ht="1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ht="1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ht="1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1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ht="1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ht="1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ht="1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spans="1:1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</sheetData>
  <mergeCells count="11">
    <mergeCell ref="I5:J5"/>
    <mergeCell ref="A1:J2"/>
    <mergeCell ref="A4:B4"/>
    <mergeCell ref="A5:B5"/>
    <mergeCell ref="C4:D4"/>
    <mergeCell ref="C5:D5"/>
    <mergeCell ref="E4:F4"/>
    <mergeCell ref="E5:F5"/>
    <mergeCell ref="G4:H4"/>
    <mergeCell ref="G5:H5"/>
    <mergeCell ref="I4:J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B926-4A4C-4E6E-858D-5E3DFF23A575}">
  <dimension ref="A1:G12"/>
  <sheetViews>
    <sheetView tabSelected="1" workbookViewId="0">
      <selection activeCell="C5" sqref="C5"/>
    </sheetView>
  </sheetViews>
  <sheetFormatPr defaultRowHeight="14.4"/>
  <cols>
    <col min="2" max="2" width="10.88671875" bestFit="1" customWidth="1"/>
  </cols>
  <sheetData>
    <row r="1" spans="1:7" ht="34.950000000000003" customHeight="1">
      <c r="A1" s="50" t="s">
        <v>427</v>
      </c>
      <c r="B1" s="36"/>
      <c r="C1" s="36"/>
      <c r="D1" s="36"/>
      <c r="E1" s="36"/>
      <c r="F1" s="36"/>
      <c r="G1" s="36"/>
    </row>
    <row r="2" spans="1:7">
      <c r="A2" s="51" t="str">
        <f ca="1">"Report Generated: "&amp;TEXT(TODAY(),"MMMM DD, YYYY")</f>
        <v>Report Generated: July 22, 2026</v>
      </c>
      <c r="B2" s="52"/>
      <c r="C2" s="52"/>
      <c r="D2" s="52"/>
      <c r="E2" s="52"/>
      <c r="F2" s="52"/>
      <c r="G2" s="52"/>
    </row>
    <row r="4" spans="1:7" ht="18">
      <c r="A4" s="53" t="s">
        <v>428</v>
      </c>
      <c r="B4" s="38"/>
      <c r="C4" s="38"/>
      <c r="D4" s="38"/>
      <c r="E4" s="38"/>
      <c r="F4" s="38"/>
      <c r="G4" s="38"/>
    </row>
    <row r="5" spans="1:7">
      <c r="A5" s="29" t="s">
        <v>429</v>
      </c>
      <c r="B5" s="29" t="s">
        <v>430</v>
      </c>
    </row>
    <row r="6" spans="1:7">
      <c r="A6" s="28" t="s">
        <v>431</v>
      </c>
      <c r="B6" s="28">
        <f>COUNTA(Retail_Dataset!A2:A351)</f>
        <v>350</v>
      </c>
    </row>
    <row r="7" spans="1:7">
      <c r="A7" s="28" t="s">
        <v>392</v>
      </c>
      <c r="B7" s="30">
        <f>SUM(Retail_Dataset!K2:K351)</f>
        <v>22459687.719999995</v>
      </c>
    </row>
    <row r="8" spans="1:7">
      <c r="A8" s="28" t="s">
        <v>405</v>
      </c>
      <c r="B8" s="31">
        <f>SUM(Retail_Dataset!H2:H351)</f>
        <v>89567</v>
      </c>
    </row>
    <row r="9" spans="1:7">
      <c r="A9" s="28" t="s">
        <v>406</v>
      </c>
      <c r="B9" s="30" cm="1">
        <f t="array" ref="B9">SUMPRODUCT((Retail_Dataset!I2:I351-Retail_Dataset!J2:J351)*Retail_Dataset!H2:H351)</f>
        <v>5069192.0999999996</v>
      </c>
    </row>
    <row r="10" spans="1:7">
      <c r="A10" s="28" t="s">
        <v>432</v>
      </c>
      <c r="B10" s="32">
        <f>B9/B7</f>
        <v>0.22570180686376884</v>
      </c>
    </row>
    <row r="11" spans="1:7">
      <c r="A11" s="28" t="s">
        <v>433</v>
      </c>
      <c r="B11" s="30">
        <f>AVERAGE(Retail_Dataset!K2:K351)</f>
        <v>64170.536342857129</v>
      </c>
    </row>
    <row r="12" spans="1:7">
      <c r="A12" s="28" t="s">
        <v>434</v>
      </c>
      <c r="B12" s="31">
        <f>AVERAGE(Retail_Dataset!H2:H351)</f>
        <v>255.90571428571428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Retail_Dataset</vt:lpstr>
      <vt:lpstr>Pivot_Analysis</vt:lpstr>
      <vt:lpstr>Dashboard</vt:lpstr>
      <vt:lpstr>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Chaudhary</dc:creator>
  <cp:lastModifiedBy>Anshika Chaudhary</cp:lastModifiedBy>
  <cp:lastPrinted>2026-07-21T18:30:01Z</cp:lastPrinted>
  <dcterms:created xsi:type="dcterms:W3CDTF">2026-07-21T18:32:44Z</dcterms:created>
  <dcterms:modified xsi:type="dcterms:W3CDTF">2026-07-21T18:32:44Z</dcterms:modified>
</cp:coreProperties>
</file>