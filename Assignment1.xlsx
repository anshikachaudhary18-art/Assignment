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W Course\Assignments\"/>
    </mc:Choice>
  </mc:AlternateContent>
  <xr:revisionPtr revIDLastSave="0" documentId="8_{D3A2D8F5-A145-42AE-993F-8B7B33835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1,2,3" sheetId="6" r:id="rId1"/>
    <sheet name="Question4,5,6,8" sheetId="1" r:id="rId2"/>
    <sheet name="Question7" sheetId="4" r:id="rId3"/>
  </sheets>
  <definedNames>
    <definedName name="_xlnm._FilterDatabase" localSheetId="1" hidden="1">'Question4,5,6,8'!$A$1:$G$51</definedName>
  </definedNames>
  <calcPr calcId="191029"/>
  <pivotCaches>
    <pivotCache cacheId="5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6" l="1"/>
  <c r="D26" i="6"/>
  <c r="D24" i="6"/>
  <c r="K28" i="1"/>
  <c r="H2" i="1"/>
  <c r="H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K26" i="1"/>
</calcChain>
</file>

<file path=xl/sharedStrings.xml><?xml version="1.0" encoding="utf-8"?>
<sst xmlns="http://schemas.openxmlformats.org/spreadsheetml/2006/main" count="223" uniqueCount="127">
  <si>
    <t>OrderID</t>
  </si>
  <si>
    <t>CustomerName</t>
  </si>
  <si>
    <t>Region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</si>
  <si>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</si>
  <si>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</si>
  <si>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</si>
  <si>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</si>
  <si>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</si>
  <si>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</si>
  <si>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</si>
  <si>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</si>
  <si>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</si>
  <si>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</si>
  <si>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</si>
  <si>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</si>
  <si>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</si>
  <si>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</si>
  <si>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</si>
  <si>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</si>
  <si>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</si>
  <si>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</si>
  <si>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</si>
  <si>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</si>
  <si>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</si>
  <si>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</si>
  <si>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</si>
  <si>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</si>
  <si>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</si>
  <si>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</si>
  <si>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</si>
  <si>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</si>
  <si>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</si>
  <si>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</si>
  <si>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</si>
  <si>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</si>
  <si>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</si>
  <si>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</si>
  <si>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</si>
  <si>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</si>
  <si>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</si>
  <si>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</si>
  <si>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</si>
  <si>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</si>
  <si>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</si>
  <si>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</si>
  <si>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</si>
  <si>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</si>
  <si>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</si>
  <si>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</si>
  <si>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</si>
  <si>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</si>
  <si>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</si>
  <si>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</si>
  <si>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</si>
  <si>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</si>
  <si>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</si>
  <si>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</si>
  <si>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</si>
  <si>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</si>
  <si>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</si>
  <si>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</si>
  <si>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</si>
  <si>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</si>
  <si>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</si>
  <si>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</si>
  <si>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</si>
  <si>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</si>
  <si>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</si>
  <si>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</si>
  <si>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</si>
  <si>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</si>
  <si>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</si>
  <si>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</si>
  <si>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</si>
  <si>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</si>
  <si>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</si>
  <si>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</si>
  <si>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</si>
  <si>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</si>
  <si>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</si>
  <si>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</si>
  <si>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</si>
  <si>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</si>
  <si>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</si>
  <si>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</si>
  <si>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</si>
  <si>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</si>
  <si>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</si>
  <si>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</si>
  <si>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</si>
  <si>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</si>
  <si>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ProductDD1:I44</t>
  </si>
  <si>
    <t>Total Sales</t>
  </si>
  <si>
    <t>PRODUCT</t>
  </si>
  <si>
    <t>Sum of TOTAL SALES</t>
  </si>
  <si>
    <t>Vehicles</t>
  </si>
  <si>
    <t>Price</t>
  </si>
  <si>
    <t>Bicycle</t>
  </si>
  <si>
    <t>Auto-Rickshaw</t>
  </si>
  <si>
    <t>Car</t>
  </si>
  <si>
    <t>Item</t>
  </si>
  <si>
    <t>Prices</t>
  </si>
  <si>
    <t>Sales</t>
  </si>
  <si>
    <t>Item B</t>
  </si>
  <si>
    <t>Item C</t>
  </si>
  <si>
    <t>Item A</t>
  </si>
  <si>
    <t>Total sales of car and bicycle</t>
  </si>
  <si>
    <t>Relative Reference (A1)</t>
  </si>
  <si>
    <t>Changes when copied to another cell</t>
  </si>
  <si>
    <t>Absolute Reference ($A$1)</t>
  </si>
  <si>
    <t>Mixed Reference ($A1 or A$1)</t>
  </si>
  <si>
    <t>Only one part is locked</t>
  </si>
  <si>
    <t>Example: Copying =A1+B1 down becomes =A2+B2</t>
  </si>
  <si>
    <t>Does not change when copied</t>
  </si>
  <si>
    <t>$ locks both column and row</t>
  </si>
  <si>
    <t>Example: =$A$1+B1 → A1 stays fixed</t>
  </si>
  <si>
    <t>$A1 → column fixed</t>
  </si>
  <si>
    <t>A$1 → row fixed</t>
  </si>
  <si>
    <t>Answer1</t>
  </si>
  <si>
    <t xml:space="preserve"> Relative, Absolute &amp; Mixed Referencing</t>
  </si>
  <si>
    <t>Answer2</t>
  </si>
  <si>
    <t>Answer3</t>
  </si>
  <si>
    <t>&lt;&lt;&lt;ans 5</t>
  </si>
  <si>
    <t>ans 4:--</t>
  </si>
  <si>
    <t>ans 6:--</t>
  </si>
  <si>
    <t>ANS 7 in assignment</t>
  </si>
  <si>
    <t>LINE CHART ANS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</si>
</sst>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2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theme="5" tint="-0.249977111117893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b/>
      <i/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NumberForma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8" fillId="3" borderId="0" xfId="0" applyFont="1" applyFill="1"/>
    <xf numFmtId="0" fontId="5" fillId="4" borderId="0" xfId="0" applyFont="1" applyFill="1"/>
    <xf numFmtId="0" fontId="9" fillId="0" borderId="2" xfId="0" applyFont="1" applyBorder="1"/>
    <xf numFmtId="0" fontId="9" fillId="0" borderId="3" xfId="0" applyFont="1" applyBorder="1"/>
    <xf numFmtId="0" fontId="4" fillId="0" borderId="4" xfId="0" applyFont="1" applyBorder="1"/>
    <xf numFmtId="0" fontId="0" fillId="0" borderId="5" xfId="0" applyBorder="1"/>
    <xf numFmtId="0" fontId="4" fillId="0" borderId="6" xfId="0" applyFont="1" applyBorder="1"/>
    <xf numFmtId="0" fontId="0" fillId="0" borderId="7" xfId="0" applyBorder="1"/>
    <xf numFmtId="0" fontId="0" fillId="0" borderId="1" xfId="0" applyBorder="1"/>
    <xf numFmtId="0" fontId="3" fillId="0" borderId="8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/>
    <xf numFmtId="0" fontId="11" fillId="2" borderId="0" xfId="0" applyFont="1" applyFill="1"/>
  </cellXfs>
  <cellStyles count="1">
    <cellStyle name="Normal" xfId="0" builtinId="0"/>
  </cellStyles>
  <dxfs count="7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03477690288714"/>
          <c:y val="0.19027777777777777"/>
          <c:w val="0.88818022747156611"/>
          <c:h val="0.56453557888597261"/>
        </c:manualLayout>
      </c:layout>
      <c:lineChart>
        <c:grouping val="standard"/>
        <c:varyColors val="0"/>
        <c:ser>
          <c:idx val="0"/>
          <c:order val="0"/>
          <c:tx>
            <c:strRef>
              <c:f>'Question4,5,6,8'!$H$1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'Question4,5,6,8'!$G$2:$G$51</c:f>
              <c:strCache>
                <c:ptCount val="50"/>
                <c:pt idx="0">
                  <c:v>01-02-2024</c:v>
                </c:pt>
                <c:pt idx="1">
                  <c:v>01-03-2024</c:v>
                </c:pt>
                <c:pt idx="2">
                  <c:v>02-02-2024</c:v>
                </c:pt>
                <c:pt idx="3">
                  <c:v>02-03-2024</c:v>
                </c:pt>
                <c:pt idx="4">
                  <c:v>03-02-2024</c:v>
                </c:pt>
                <c:pt idx="5">
                  <c:v>03-03-2024</c:v>
                </c:pt>
                <c:pt idx="6">
                  <c:v>04-02-2024</c:v>
                </c:pt>
                <c:pt idx="7">
                  <c:v>04-03-2024</c:v>
                </c:pt>
                <c:pt idx="8">
                  <c:v>05-01-2024</c:v>
                </c:pt>
                <c:pt idx="9">
                  <c:v>05-03-2024</c:v>
                </c:pt>
                <c:pt idx="10">
                  <c:v>06-01-2024</c:v>
                </c:pt>
                <c:pt idx="11">
                  <c:v>06-02-2024</c:v>
                </c:pt>
                <c:pt idx="12">
                  <c:v>06-03-2024</c:v>
                </c:pt>
                <c:pt idx="13">
                  <c:v>07-01-2024</c:v>
                </c:pt>
                <c:pt idx="14">
                  <c:v>07-02-2024</c:v>
                </c:pt>
                <c:pt idx="15">
                  <c:v>07-03-2024</c:v>
                </c:pt>
                <c:pt idx="16">
                  <c:v>08-01-2024</c:v>
                </c:pt>
                <c:pt idx="17">
                  <c:v>08-02-2024</c:v>
                </c:pt>
                <c:pt idx="18">
                  <c:v>08-03-2024</c:v>
                </c:pt>
                <c:pt idx="19">
                  <c:v>09-02-2024</c:v>
                </c:pt>
                <c:pt idx="20">
                  <c:v>10-01-2024</c:v>
                </c:pt>
                <c:pt idx="21">
                  <c:v>10-02-2024</c:v>
                </c:pt>
                <c:pt idx="22">
                  <c:v>11-01-2024</c:v>
                </c:pt>
                <c:pt idx="23">
                  <c:v>12-02-2024</c:v>
                </c:pt>
                <c:pt idx="24">
                  <c:v>13-01-2024</c:v>
                </c:pt>
                <c:pt idx="25">
                  <c:v>13-02-2024</c:v>
                </c:pt>
                <c:pt idx="26">
                  <c:v>14-02-2024</c:v>
                </c:pt>
                <c:pt idx="27">
                  <c:v>15-01-2024</c:v>
                </c:pt>
                <c:pt idx="28">
                  <c:v>16-02-2024</c:v>
                </c:pt>
                <c:pt idx="29">
                  <c:v>17-01-2024</c:v>
                </c:pt>
                <c:pt idx="30">
                  <c:v>17-02-2024</c:v>
                </c:pt>
                <c:pt idx="31">
                  <c:v>18-01-2024</c:v>
                </c:pt>
                <c:pt idx="32">
                  <c:v>18-02-2024</c:v>
                </c:pt>
                <c:pt idx="33">
                  <c:v>19-01-2024</c:v>
                </c:pt>
                <c:pt idx="34">
                  <c:v>19-02-2024</c:v>
                </c:pt>
                <c:pt idx="35">
                  <c:v>20-01-2024</c:v>
                </c:pt>
                <c:pt idx="36">
                  <c:v>21-02-2024</c:v>
                </c:pt>
                <c:pt idx="37">
                  <c:v>22-01-2024</c:v>
                </c:pt>
                <c:pt idx="38">
                  <c:v>22-02-2024</c:v>
                </c:pt>
                <c:pt idx="39">
                  <c:v>23-01-2024</c:v>
                </c:pt>
                <c:pt idx="40">
                  <c:v>23-02-2024</c:v>
                </c:pt>
                <c:pt idx="41">
                  <c:v>24-01-2024</c:v>
                </c:pt>
                <c:pt idx="42">
                  <c:v>25-02-2024</c:v>
                </c:pt>
                <c:pt idx="43">
                  <c:v>26-01-2024</c:v>
                </c:pt>
                <c:pt idx="44">
                  <c:v>26-02-2024</c:v>
                </c:pt>
                <c:pt idx="45">
                  <c:v>27-02-2024</c:v>
                </c:pt>
                <c:pt idx="46">
                  <c:v>28-01-2024</c:v>
                </c:pt>
                <c:pt idx="47">
                  <c:v>28-02-2024</c:v>
                </c:pt>
                <c:pt idx="48">
                  <c:v>29-01-2024</c:v>
                </c:pt>
                <c:pt idx="49">
                  <c:v>30-01-2024</c:v>
                </c:pt>
              </c:strCache>
            </c:strRef>
          </c:cat>
          <c:val>
            <c:numRef>
              <c:f>'Question4,5,6,8'!$H$2:$H$51</c:f>
              <c:numCache>
                <c:formatCode>General</c:formatCode>
                <c:ptCount val="50"/>
                <c:pt idx="0">
                  <c:v>450</c:v>
                </c:pt>
                <c:pt idx="1">
                  <c:v>208</c:v>
                </c:pt>
                <c:pt idx="2">
                  <c:v>450</c:v>
                </c:pt>
                <c:pt idx="3">
                  <c:v>700</c:v>
                </c:pt>
                <c:pt idx="4">
                  <c:v>175</c:v>
                </c:pt>
                <c:pt idx="5">
                  <c:v>200</c:v>
                </c:pt>
                <c:pt idx="6">
                  <c:v>240</c:v>
                </c:pt>
                <c:pt idx="7">
                  <c:v>425</c:v>
                </c:pt>
                <c:pt idx="8">
                  <c:v>500</c:v>
                </c:pt>
                <c:pt idx="9">
                  <c:v>95</c:v>
                </c:pt>
                <c:pt idx="10">
                  <c:v>200</c:v>
                </c:pt>
                <c:pt idx="11">
                  <c:v>550</c:v>
                </c:pt>
                <c:pt idx="12">
                  <c:v>256</c:v>
                </c:pt>
                <c:pt idx="13">
                  <c:v>375</c:v>
                </c:pt>
                <c:pt idx="14">
                  <c:v>140</c:v>
                </c:pt>
                <c:pt idx="15">
                  <c:v>600</c:v>
                </c:pt>
                <c:pt idx="16">
                  <c:v>250</c:v>
                </c:pt>
                <c:pt idx="17">
                  <c:v>400</c:v>
                </c:pt>
                <c:pt idx="18">
                  <c:v>250</c:v>
                </c:pt>
                <c:pt idx="19">
                  <c:v>110</c:v>
                </c:pt>
                <c:pt idx="20">
                  <c:v>150</c:v>
                </c:pt>
                <c:pt idx="21">
                  <c:v>216</c:v>
                </c:pt>
                <c:pt idx="22">
                  <c:v>600</c:v>
                </c:pt>
                <c:pt idx="23">
                  <c:v>650</c:v>
                </c:pt>
                <c:pt idx="24">
                  <c:v>200</c:v>
                </c:pt>
                <c:pt idx="25">
                  <c:v>320</c:v>
                </c:pt>
                <c:pt idx="26">
                  <c:v>250</c:v>
                </c:pt>
                <c:pt idx="27">
                  <c:v>180</c:v>
                </c:pt>
                <c:pt idx="28">
                  <c:v>90</c:v>
                </c:pt>
                <c:pt idx="29">
                  <c:v>550</c:v>
                </c:pt>
                <c:pt idx="30">
                  <c:v>176</c:v>
                </c:pt>
                <c:pt idx="31">
                  <c:v>400</c:v>
                </c:pt>
                <c:pt idx="32">
                  <c:v>850</c:v>
                </c:pt>
                <c:pt idx="33">
                  <c:v>200</c:v>
                </c:pt>
                <c:pt idx="34">
                  <c:v>190</c:v>
                </c:pt>
                <c:pt idx="35">
                  <c:v>280</c:v>
                </c:pt>
                <c:pt idx="36">
                  <c:v>375</c:v>
                </c:pt>
                <c:pt idx="37">
                  <c:v>700</c:v>
                </c:pt>
                <c:pt idx="38">
                  <c:v>140</c:v>
                </c:pt>
                <c:pt idx="39">
                  <c:v>280</c:v>
                </c:pt>
                <c:pt idx="40">
                  <c:v>192</c:v>
                </c:pt>
                <c:pt idx="41">
                  <c:v>300</c:v>
                </c:pt>
                <c:pt idx="42">
                  <c:v>800</c:v>
                </c:pt>
                <c:pt idx="43">
                  <c:v>125</c:v>
                </c:pt>
                <c:pt idx="44">
                  <c:v>270</c:v>
                </c:pt>
                <c:pt idx="45">
                  <c:v>525</c:v>
                </c:pt>
                <c:pt idx="46">
                  <c:v>160</c:v>
                </c:pt>
                <c:pt idx="47">
                  <c:v>150</c:v>
                </c:pt>
                <c:pt idx="48">
                  <c:v>500</c:v>
                </c:pt>
                <c:pt idx="4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B-4EA4-B79D-6CD97211D8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953391"/>
        <c:axId val="1512955791"/>
      </c:lineChart>
      <c:catAx>
        <c:axId val="151295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1" u="sng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55791"/>
        <c:crosses val="autoZero"/>
        <c:auto val="1"/>
        <c:lblAlgn val="ctr"/>
        <c:lblOffset val="100"/>
        <c:noMultiLvlLbl val="0"/>
      </c:catAx>
      <c:valAx>
        <c:axId val="15129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1" u="sng"/>
                  <a:t>PRICES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5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[Assignment1.xlsx]Question7!PivotTable33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/>
                </a:solidFill>
              </a:rPr>
              <a:t>Sum of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83197771193142"/>
          <c:y val="0.28647929425488483"/>
          <c:w val="0.8356817654165043"/>
          <c:h val="0.45305993000874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Question7!$A$4:$A$8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Question7!$B$4:$B$8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3-4156-A788-2DBA06EBB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0919887"/>
        <c:axId val="1690922287"/>
      </c:barChart>
      <c:catAx>
        <c:axId val="169091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1" u="sng"/>
                  <a:t>PRODUCT</a:t>
                </a:r>
              </a:p>
            </c:rich>
          </c:tx>
          <c:layout>
            <c:manualLayout>
              <c:xMode val="edge"/>
              <c:yMode val="edge"/>
              <c:x val="0.43653193088495129"/>
              <c:y val="0.87370589093030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22287"/>
        <c:crosses val="autoZero"/>
        <c:auto val="1"/>
        <c:lblAlgn val="ctr"/>
        <c:lblOffset val="100"/>
        <c:noMultiLvlLbl val="0"/>
      </c:catAx>
      <c:valAx>
        <c:axId val="1690922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i="1" u="sng"/>
                  <a:t>SALES</a:t>
                </a:r>
              </a:p>
            </c:rich>
          </c:tx>
          <c:layout>
            <c:manualLayout>
              <c:xMode val="edge"/>
              <c:yMode val="edge"/>
              <c:x val="1.7491254372813594E-2"/>
              <c:y val="0.40523148148148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1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28</xdr:row>
      <xdr:rowOff>161159</xdr:rowOff>
    </xdr:from>
    <xdr:to>
      <xdr:col>16</xdr:col>
      <xdr:colOff>190500</xdr:colOff>
      <xdr:row>47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4EF2F5-9D3A-05F3-D2CB-F05588B4B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</xdr:row>
      <xdr:rowOff>26670</xdr:rowOff>
    </xdr:from>
    <xdr:to>
      <xdr:col>10</xdr:col>
      <xdr:colOff>419100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2492B-675C-3CC5-7D29-528D1637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shi/Downloads/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" refreshedDate="46031.72452152778" createdVersion="8" refreshedVersion="8" minRefreshableVersion="3" recordCount="50" xr:uid="{1045FD85-CC26-4034-9CEF-859BA8F82D46}">
  <cacheSource type="worksheet">
    <worksheetSource ref="A1:D51" sheet="Sheet2" r:id="rId2"/>
  </cacheSource>
  <cacheFields count="4">
    <cacheField name="PRODUCT" numFmtId="0">
      <sharedItems count="5">
        <s v="Marker"/>
        <s v="Eraser"/>
        <s v="Notebook"/>
        <s v="Pencil"/>
        <s v="Pen"/>
      </sharedItems>
    </cacheField>
    <cacheField name="TOTAL SALES" numFmtId="0">
      <sharedItems containsSemiMixedTypes="0" containsString="0" containsNumber="1" containsInteger="1" minValue="90" maxValue="850"/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450"/>
    <n v="18"/>
    <n v="25"/>
  </r>
  <r>
    <x v="1"/>
    <n v="208"/>
    <n v="26"/>
    <n v="8"/>
  </r>
  <r>
    <x v="2"/>
    <n v="450"/>
    <n v="9"/>
    <n v="50"/>
  </r>
  <r>
    <x v="2"/>
    <n v="700"/>
    <n v="14"/>
    <n v="50"/>
  </r>
  <r>
    <x v="3"/>
    <n v="175"/>
    <n v="35"/>
    <n v="5"/>
  </r>
  <r>
    <x v="4"/>
    <n v="200"/>
    <n v="20"/>
    <n v="10"/>
  </r>
  <r>
    <x v="1"/>
    <n v="240"/>
    <n v="30"/>
    <n v="8"/>
  </r>
  <r>
    <x v="0"/>
    <n v="425"/>
    <n v="17"/>
    <n v="25"/>
  </r>
  <r>
    <x v="2"/>
    <n v="500"/>
    <n v="10"/>
    <n v="50"/>
  </r>
  <r>
    <x v="3"/>
    <n v="95"/>
    <n v="19"/>
    <n v="5"/>
  </r>
  <r>
    <x v="4"/>
    <n v="200"/>
    <n v="20"/>
    <n v="10"/>
  </r>
  <r>
    <x v="2"/>
    <n v="550"/>
    <n v="11"/>
    <n v="50"/>
  </r>
  <r>
    <x v="1"/>
    <n v="256"/>
    <n v="32"/>
    <n v="8"/>
  </r>
  <r>
    <x v="0"/>
    <n v="375"/>
    <n v="15"/>
    <n v="25"/>
  </r>
  <r>
    <x v="4"/>
    <n v="140"/>
    <n v="14"/>
    <n v="10"/>
  </r>
  <r>
    <x v="2"/>
    <n v="600"/>
    <n v="12"/>
    <n v="50"/>
  </r>
  <r>
    <x v="2"/>
    <n v="250"/>
    <n v="5"/>
    <n v="50"/>
  </r>
  <r>
    <x v="0"/>
    <n v="400"/>
    <n v="16"/>
    <n v="25"/>
  </r>
  <r>
    <x v="4"/>
    <n v="250"/>
    <n v="25"/>
    <n v="10"/>
  </r>
  <r>
    <x v="3"/>
    <n v="110"/>
    <n v="22"/>
    <n v="5"/>
  </r>
  <r>
    <x v="3"/>
    <n v="150"/>
    <n v="30"/>
    <n v="5"/>
  </r>
  <r>
    <x v="1"/>
    <n v="216"/>
    <n v="27"/>
    <n v="8"/>
  </r>
  <r>
    <x v="2"/>
    <n v="600"/>
    <n v="12"/>
    <n v="50"/>
  </r>
  <r>
    <x v="2"/>
    <n v="650"/>
    <n v="13"/>
    <n v="50"/>
  </r>
  <r>
    <x v="1"/>
    <n v="200"/>
    <n v="25"/>
    <n v="8"/>
  </r>
  <r>
    <x v="4"/>
    <n v="320"/>
    <n v="32"/>
    <n v="10"/>
  </r>
  <r>
    <x v="0"/>
    <n v="250"/>
    <n v="10"/>
    <n v="25"/>
  </r>
  <r>
    <x v="4"/>
    <n v="180"/>
    <n v="18"/>
    <n v="10"/>
  </r>
  <r>
    <x v="3"/>
    <n v="90"/>
    <n v="18"/>
    <n v="5"/>
  </r>
  <r>
    <x v="0"/>
    <n v="550"/>
    <n v="22"/>
    <n v="25"/>
  </r>
  <r>
    <x v="1"/>
    <n v="176"/>
    <n v="22"/>
    <n v="8"/>
  </r>
  <r>
    <x v="2"/>
    <n v="400"/>
    <n v="8"/>
    <n v="50"/>
  </r>
  <r>
    <x v="2"/>
    <n v="850"/>
    <n v="17"/>
    <n v="50"/>
  </r>
  <r>
    <x v="3"/>
    <n v="200"/>
    <n v="40"/>
    <n v="5"/>
  </r>
  <r>
    <x v="4"/>
    <n v="190"/>
    <n v="19"/>
    <n v="10"/>
  </r>
  <r>
    <x v="1"/>
    <n v="280"/>
    <n v="35"/>
    <n v="8"/>
  </r>
  <r>
    <x v="0"/>
    <n v="375"/>
    <n v="15"/>
    <n v="25"/>
  </r>
  <r>
    <x v="2"/>
    <n v="700"/>
    <n v="14"/>
    <n v="50"/>
  </r>
  <r>
    <x v="3"/>
    <n v="140"/>
    <n v="28"/>
    <n v="5"/>
  </r>
  <r>
    <x v="4"/>
    <n v="280"/>
    <n v="28"/>
    <n v="10"/>
  </r>
  <r>
    <x v="1"/>
    <n v="192"/>
    <n v="24"/>
    <n v="8"/>
  </r>
  <r>
    <x v="0"/>
    <n v="300"/>
    <n v="12"/>
    <n v="25"/>
  </r>
  <r>
    <x v="2"/>
    <n v="800"/>
    <n v="16"/>
    <n v="50"/>
  </r>
  <r>
    <x v="3"/>
    <n v="125"/>
    <n v="25"/>
    <n v="5"/>
  </r>
  <r>
    <x v="4"/>
    <n v="270"/>
    <n v="27"/>
    <n v="10"/>
  </r>
  <r>
    <x v="0"/>
    <n v="525"/>
    <n v="21"/>
    <n v="25"/>
  </r>
  <r>
    <x v="1"/>
    <n v="160"/>
    <n v="20"/>
    <n v="8"/>
  </r>
  <r>
    <x v="3"/>
    <n v="150"/>
    <n v="30"/>
    <n v="5"/>
  </r>
  <r>
    <x v="2"/>
    <n v="500"/>
    <n v="10"/>
    <n v="50"/>
  </r>
  <r>
    <x v="4"/>
    <n v="150"/>
    <n v="1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BF600-BD80-478F-9852-27EB516B1108}" name="PivotTable33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4">
    <pivotField axis="axisRow" compact="0" outline="0" showAll="0" defaultSubtotal="0">
      <items count="5"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FF493-6BE0-485A-B306-1F81E4EECFDB}" name="Table15" displayName="Table15" ref="B23:D26" totalsRowShown="0" headerRowDxfId="6" headerRowBorderDxfId="4" tableBorderDxfId="5" totalsRowBorderDxfId="3">
  <autoFilter ref="B23:D26" xr:uid="{342FF493-6BE0-485A-B306-1F81E4EECFDB}"/>
  <tableColumns count="3">
    <tableColumn id="1" xr3:uid="{DAB03EEF-9128-4969-845B-D610B78A4116}" name="Vehicles" dataDxfId="2"/>
    <tableColumn id="2" xr3:uid="{EDCB778A-4590-411B-9732-8206CBE0F65D}" name="Price" dataDxfId="1"/>
    <tableColumn id="3" xr3:uid="{48015B85-4F9A-4A97-ABAD-CC03DC70E69D}" name="Total sales of car and bicycle" dataDxfId="0">
      <calculatedColumnFormula>C25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1561-650D-4D87-933E-DAC43E0EECAF}">
  <dimension ref="A1:F33"/>
  <sheetViews>
    <sheetView tabSelected="1" topLeftCell="A10" workbookViewId="0">
      <selection activeCell="L32" sqref="L32"/>
    </sheetView>
  </sheetViews>
  <sheetFormatPr defaultRowHeight="13.2" x14ac:dyDescent="0.25"/>
  <cols>
    <col min="2" max="2" width="52" bestFit="1" customWidth="1"/>
    <col min="4" max="4" width="28.88671875" bestFit="1" customWidth="1"/>
  </cols>
  <sheetData>
    <row r="1" spans="1:2" ht="17.399999999999999" x14ac:dyDescent="0.3">
      <c r="A1" s="8" t="s">
        <v>118</v>
      </c>
      <c r="B1" s="27" t="s">
        <v>119</v>
      </c>
    </row>
    <row r="3" spans="1:2" x14ac:dyDescent="0.25">
      <c r="B3" s="8" t="s">
        <v>107</v>
      </c>
    </row>
    <row r="4" spans="1:2" x14ac:dyDescent="0.25">
      <c r="B4" t="s">
        <v>108</v>
      </c>
    </row>
    <row r="6" spans="1:2" x14ac:dyDescent="0.25">
      <c r="B6" t="s">
        <v>112</v>
      </c>
    </row>
    <row r="8" spans="1:2" x14ac:dyDescent="0.25">
      <c r="B8" s="8" t="s">
        <v>109</v>
      </c>
    </row>
    <row r="9" spans="1:2" x14ac:dyDescent="0.25">
      <c r="B9" t="s">
        <v>113</v>
      </c>
    </row>
    <row r="11" spans="1:2" x14ac:dyDescent="0.25">
      <c r="B11" t="s">
        <v>114</v>
      </c>
    </row>
    <row r="13" spans="1:2" x14ac:dyDescent="0.25">
      <c r="B13" t="s">
        <v>115</v>
      </c>
    </row>
    <row r="15" spans="1:2" x14ac:dyDescent="0.25">
      <c r="B15" s="8" t="s">
        <v>110</v>
      </c>
    </row>
    <row r="16" spans="1:2" x14ac:dyDescent="0.25">
      <c r="B16" t="s">
        <v>111</v>
      </c>
    </row>
    <row r="18" spans="1:6" x14ac:dyDescent="0.25">
      <c r="B18" t="s">
        <v>116</v>
      </c>
    </row>
    <row r="20" spans="1:6" x14ac:dyDescent="0.25">
      <c r="B20" t="s">
        <v>117</v>
      </c>
    </row>
    <row r="22" spans="1:6" x14ac:dyDescent="0.25">
      <c r="A22" s="8" t="s">
        <v>120</v>
      </c>
    </row>
    <row r="23" spans="1:6" ht="13.8" x14ac:dyDescent="0.25">
      <c r="B23" s="15" t="s">
        <v>95</v>
      </c>
      <c r="C23" s="16" t="s">
        <v>96</v>
      </c>
      <c r="D23" s="22" t="s">
        <v>106</v>
      </c>
      <c r="E23" s="7"/>
    </row>
    <row r="24" spans="1:6" x14ac:dyDescent="0.25">
      <c r="B24" s="17" t="s">
        <v>99</v>
      </c>
      <c r="C24" s="18">
        <v>500000</v>
      </c>
      <c r="D24" s="21">
        <f>C24+C25</f>
        <v>510500</v>
      </c>
    </row>
    <row r="25" spans="1:6" x14ac:dyDescent="0.25">
      <c r="B25" s="17" t="s">
        <v>97</v>
      </c>
      <c r="C25" s="18">
        <v>10500</v>
      </c>
      <c r="D25" s="21"/>
    </row>
    <row r="26" spans="1:6" x14ac:dyDescent="0.25">
      <c r="B26" s="19" t="s">
        <v>98</v>
      </c>
      <c r="C26" s="20">
        <v>25000</v>
      </c>
      <c r="D26" s="21">
        <f>C27</f>
        <v>0</v>
      </c>
    </row>
    <row r="29" spans="1:6" x14ac:dyDescent="0.25">
      <c r="A29" s="8" t="s">
        <v>121</v>
      </c>
      <c r="F29" s="26"/>
    </row>
    <row r="30" spans="1:6" x14ac:dyDescent="0.25">
      <c r="B30" s="23" t="s">
        <v>100</v>
      </c>
      <c r="C30" s="23" t="s">
        <v>101</v>
      </c>
      <c r="D30" s="23" t="s">
        <v>102</v>
      </c>
      <c r="F30" s="8">
        <f>AVERAGEIFS(D31:D33,C31:C33, "&gt;100", C31:C33, "&lt;300")</f>
        <v>1350</v>
      </c>
    </row>
    <row r="31" spans="1:6" x14ac:dyDescent="0.25">
      <c r="B31" s="24" t="s">
        <v>105</v>
      </c>
      <c r="C31" s="25">
        <v>90</v>
      </c>
      <c r="D31" s="25">
        <v>1000</v>
      </c>
    </row>
    <row r="32" spans="1:6" x14ac:dyDescent="0.25">
      <c r="B32" s="24" t="s">
        <v>103</v>
      </c>
      <c r="C32" s="25">
        <v>150</v>
      </c>
      <c r="D32" s="25">
        <v>1200</v>
      </c>
      <c r="F32" s="7"/>
    </row>
    <row r="33" spans="2:4" x14ac:dyDescent="0.25">
      <c r="B33" s="24" t="s">
        <v>104</v>
      </c>
      <c r="C33" s="25">
        <v>250</v>
      </c>
      <c r="D33" s="25">
        <v>1500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"/>
  <sheetViews>
    <sheetView topLeftCell="A20" zoomScale="80" zoomScaleNormal="62" workbookViewId="0">
      <selection activeCell="K26" sqref="K26"/>
    </sheetView>
  </sheetViews>
  <sheetFormatPr defaultColWidth="12.6640625" defaultRowHeight="15.75" customHeight="1" x14ac:dyDescent="0.25"/>
  <cols>
    <col min="1" max="1" width="13.77734375" bestFit="1" customWidth="1"/>
    <col min="2" max="2" width="21.77734375" bestFit="1" customWidth="1"/>
    <col min="3" max="3" width="12.88671875" bestFit="1" customWidth="1"/>
    <col min="4" max="4" width="22" bestFit="1" customWidth="1"/>
    <col min="5" max="5" width="14.44140625" bestFit="1" customWidth="1"/>
    <col min="6" max="6" width="15.33203125" bestFit="1" customWidth="1"/>
    <col min="7" max="7" width="16.21875" bestFit="1" customWidth="1"/>
    <col min="10" max="10" width="18.5546875" bestFit="1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91</v>
      </c>
      <c r="E1" s="1" t="s">
        <v>3</v>
      </c>
      <c r="F1" s="1" t="s">
        <v>4</v>
      </c>
      <c r="G1" s="1" t="s">
        <v>5</v>
      </c>
      <c r="H1" s="1" t="s">
        <v>92</v>
      </c>
      <c r="I1" s="9" t="s">
        <v>122</v>
      </c>
    </row>
    <row r="2" spans="1:9" ht="15.75" customHeight="1" x14ac:dyDescent="0.3">
      <c r="A2" s="2">
        <v>1020</v>
      </c>
      <c r="B2" s="3" t="s">
        <v>47</v>
      </c>
      <c r="C2" s="3" t="s">
        <v>16</v>
      </c>
      <c r="D2" s="3" t="s">
        <v>14</v>
      </c>
      <c r="E2" s="2">
        <v>18</v>
      </c>
      <c r="F2" s="2">
        <v>25</v>
      </c>
      <c r="G2" s="4">
        <v>45293</v>
      </c>
      <c r="H2" s="10">
        <f>E2*F2</f>
        <v>450</v>
      </c>
    </row>
    <row r="3" spans="1:9" ht="15.75" customHeight="1" x14ac:dyDescent="0.3">
      <c r="A3" s="2">
        <v>1043</v>
      </c>
      <c r="B3" s="3" t="s">
        <v>83</v>
      </c>
      <c r="C3" s="3" t="s">
        <v>13</v>
      </c>
      <c r="D3" s="3" t="s">
        <v>21</v>
      </c>
      <c r="E3" s="2">
        <v>26</v>
      </c>
      <c r="F3" s="2">
        <v>8</v>
      </c>
      <c r="G3" s="4">
        <v>45294</v>
      </c>
      <c r="H3" s="10">
        <f t="shared" ref="H3:H51" si="0">E3*F3</f>
        <v>208</v>
      </c>
    </row>
    <row r="4" spans="1:9" ht="15.75" customHeight="1" x14ac:dyDescent="0.3">
      <c r="A4" s="2">
        <v>1021</v>
      </c>
      <c r="B4" s="3" t="s">
        <v>48</v>
      </c>
      <c r="C4" s="3" t="s">
        <v>7</v>
      </c>
      <c r="D4" s="3" t="s">
        <v>8</v>
      </c>
      <c r="E4" s="2">
        <v>9</v>
      </c>
      <c r="F4" s="2">
        <v>50</v>
      </c>
      <c r="G4" s="4">
        <v>45324</v>
      </c>
      <c r="H4" s="10">
        <f t="shared" si="0"/>
        <v>450</v>
      </c>
    </row>
    <row r="5" spans="1:9" ht="15.75" customHeight="1" x14ac:dyDescent="0.3">
      <c r="A5" s="2">
        <v>1044</v>
      </c>
      <c r="B5" s="3" t="s">
        <v>84</v>
      </c>
      <c r="C5" s="3" t="s">
        <v>16</v>
      </c>
      <c r="D5" s="3" t="s">
        <v>8</v>
      </c>
      <c r="E5" s="2">
        <v>14</v>
      </c>
      <c r="F5" s="2">
        <v>50</v>
      </c>
      <c r="G5" s="4">
        <v>45325</v>
      </c>
      <c r="H5" s="10">
        <f t="shared" si="0"/>
        <v>700</v>
      </c>
    </row>
    <row r="6" spans="1:9" ht="15.75" customHeight="1" x14ac:dyDescent="0.3">
      <c r="A6" s="2">
        <v>1022</v>
      </c>
      <c r="B6" s="3" t="s">
        <v>49</v>
      </c>
      <c r="C6" s="3" t="s">
        <v>10</v>
      </c>
      <c r="D6" s="3" t="s">
        <v>18</v>
      </c>
      <c r="E6" s="2">
        <v>35</v>
      </c>
      <c r="F6" s="2">
        <v>5</v>
      </c>
      <c r="G6" s="4">
        <v>45353</v>
      </c>
      <c r="H6" s="10">
        <f t="shared" si="0"/>
        <v>175</v>
      </c>
    </row>
    <row r="7" spans="1:9" ht="15.75" customHeight="1" x14ac:dyDescent="0.3">
      <c r="A7" s="2">
        <v>1045</v>
      </c>
      <c r="B7" s="3" t="s">
        <v>85</v>
      </c>
      <c r="C7" s="3" t="s">
        <v>7</v>
      </c>
      <c r="D7" s="3" t="s">
        <v>11</v>
      </c>
      <c r="E7" s="2">
        <v>20</v>
      </c>
      <c r="F7" s="2">
        <v>10</v>
      </c>
      <c r="G7" s="4">
        <v>45354</v>
      </c>
      <c r="H7" s="10">
        <f t="shared" si="0"/>
        <v>200</v>
      </c>
    </row>
    <row r="8" spans="1:9" ht="15.75" customHeight="1" x14ac:dyDescent="0.3">
      <c r="A8" s="2">
        <v>1023</v>
      </c>
      <c r="B8" s="3" t="s">
        <v>50</v>
      </c>
      <c r="C8" s="3" t="s">
        <v>13</v>
      </c>
      <c r="D8" s="3" t="s">
        <v>21</v>
      </c>
      <c r="E8" s="2">
        <v>30</v>
      </c>
      <c r="F8" s="2">
        <v>8</v>
      </c>
      <c r="G8" s="4">
        <v>45384</v>
      </c>
      <c r="H8" s="10">
        <f t="shared" si="0"/>
        <v>240</v>
      </c>
    </row>
    <row r="9" spans="1:9" ht="15.75" customHeight="1" x14ac:dyDescent="0.3">
      <c r="A9" s="2">
        <v>1046</v>
      </c>
      <c r="B9" s="3" t="s">
        <v>86</v>
      </c>
      <c r="C9" s="3" t="s">
        <v>10</v>
      </c>
      <c r="D9" s="3" t="s">
        <v>14</v>
      </c>
      <c r="E9" s="2">
        <v>17</v>
      </c>
      <c r="F9" s="2">
        <v>25</v>
      </c>
      <c r="G9" s="4">
        <v>45385</v>
      </c>
      <c r="H9" s="10">
        <f t="shared" si="0"/>
        <v>425</v>
      </c>
    </row>
    <row r="10" spans="1:9" ht="15.75" customHeight="1" x14ac:dyDescent="0.3">
      <c r="A10" s="2">
        <v>1001</v>
      </c>
      <c r="B10" s="3" t="s">
        <v>6</v>
      </c>
      <c r="C10" s="3" t="s">
        <v>7</v>
      </c>
      <c r="D10" s="3" t="s">
        <v>8</v>
      </c>
      <c r="E10" s="2">
        <v>10</v>
      </c>
      <c r="F10" s="2">
        <v>50</v>
      </c>
      <c r="G10" s="4">
        <v>45413</v>
      </c>
      <c r="H10" s="10">
        <f t="shared" si="0"/>
        <v>500</v>
      </c>
    </row>
    <row r="11" spans="1:9" ht="15.75" customHeight="1" x14ac:dyDescent="0.3">
      <c r="A11" s="2">
        <v>1047</v>
      </c>
      <c r="B11" s="3" t="s">
        <v>87</v>
      </c>
      <c r="C11" s="3" t="s">
        <v>13</v>
      </c>
      <c r="D11" s="3" t="s">
        <v>18</v>
      </c>
      <c r="E11" s="2">
        <v>19</v>
      </c>
      <c r="F11" s="2">
        <v>5</v>
      </c>
      <c r="G11" s="4">
        <v>45415</v>
      </c>
      <c r="H11" s="10">
        <f t="shared" si="0"/>
        <v>95</v>
      </c>
    </row>
    <row r="12" spans="1:9" ht="15.75" customHeight="1" x14ac:dyDescent="0.3">
      <c r="A12" s="2">
        <v>1002</v>
      </c>
      <c r="B12" s="3" t="s">
        <v>9</v>
      </c>
      <c r="C12" s="3" t="s">
        <v>10</v>
      </c>
      <c r="D12" s="3" t="s">
        <v>11</v>
      </c>
      <c r="E12" s="2">
        <v>20</v>
      </c>
      <c r="F12" s="2">
        <v>10</v>
      </c>
      <c r="G12" s="4">
        <v>45444</v>
      </c>
      <c r="H12" s="10">
        <f t="shared" si="0"/>
        <v>200</v>
      </c>
    </row>
    <row r="13" spans="1:9" ht="15.75" customHeight="1" x14ac:dyDescent="0.3">
      <c r="A13" s="2">
        <v>1024</v>
      </c>
      <c r="B13" s="3" t="s">
        <v>51</v>
      </c>
      <c r="C13" s="3" t="s">
        <v>16</v>
      </c>
      <c r="D13" s="3" t="s">
        <v>8</v>
      </c>
      <c r="E13" s="2">
        <v>11</v>
      </c>
      <c r="F13" s="2">
        <v>50</v>
      </c>
      <c r="G13" s="4">
        <v>45445</v>
      </c>
      <c r="H13" s="10">
        <f t="shared" si="0"/>
        <v>550</v>
      </c>
    </row>
    <row r="14" spans="1:9" ht="15.75" customHeight="1" x14ac:dyDescent="0.3">
      <c r="A14" s="2">
        <v>1048</v>
      </c>
      <c r="B14" s="3" t="s">
        <v>88</v>
      </c>
      <c r="C14" s="3" t="s">
        <v>16</v>
      </c>
      <c r="D14" s="3" t="s">
        <v>21</v>
      </c>
      <c r="E14" s="2">
        <v>32</v>
      </c>
      <c r="F14" s="2">
        <v>8</v>
      </c>
      <c r="G14" s="4">
        <v>45446</v>
      </c>
      <c r="H14" s="10">
        <f t="shared" si="0"/>
        <v>256</v>
      </c>
    </row>
    <row r="15" spans="1:9" ht="15.75" customHeight="1" x14ac:dyDescent="0.3">
      <c r="A15" s="2">
        <v>1003</v>
      </c>
      <c r="B15" s="3" t="s">
        <v>12</v>
      </c>
      <c r="C15" s="3" t="s">
        <v>13</v>
      </c>
      <c r="D15" s="3" t="s">
        <v>14</v>
      </c>
      <c r="E15" s="2">
        <v>15</v>
      </c>
      <c r="F15" s="2">
        <v>25</v>
      </c>
      <c r="G15" s="4">
        <v>45474</v>
      </c>
      <c r="H15" s="10">
        <f t="shared" si="0"/>
        <v>375</v>
      </c>
    </row>
    <row r="16" spans="1:9" ht="15.75" customHeight="1" x14ac:dyDescent="0.3">
      <c r="A16" s="2">
        <v>1025</v>
      </c>
      <c r="B16" s="3" t="s">
        <v>52</v>
      </c>
      <c r="C16" s="3" t="s">
        <v>7</v>
      </c>
      <c r="D16" s="3" t="s">
        <v>11</v>
      </c>
      <c r="E16" s="2">
        <v>14</v>
      </c>
      <c r="F16" s="2">
        <v>10</v>
      </c>
      <c r="G16" s="4">
        <v>45475</v>
      </c>
      <c r="H16" s="10">
        <f t="shared" si="0"/>
        <v>140</v>
      </c>
    </row>
    <row r="17" spans="1:11" ht="15.75" customHeight="1" x14ac:dyDescent="0.3">
      <c r="A17" s="2">
        <v>1049</v>
      </c>
      <c r="B17" s="3" t="s">
        <v>89</v>
      </c>
      <c r="C17" s="3" t="s">
        <v>7</v>
      </c>
      <c r="D17" s="3" t="s">
        <v>8</v>
      </c>
      <c r="E17" s="2">
        <v>12</v>
      </c>
      <c r="F17" s="2">
        <v>50</v>
      </c>
      <c r="G17" s="4">
        <v>45476</v>
      </c>
      <c r="H17" s="10">
        <f t="shared" si="0"/>
        <v>600</v>
      </c>
    </row>
    <row r="18" spans="1:11" ht="15.75" customHeight="1" x14ac:dyDescent="0.3">
      <c r="A18" s="2">
        <v>1004</v>
      </c>
      <c r="B18" s="3" t="s">
        <v>15</v>
      </c>
      <c r="C18" s="3" t="s">
        <v>16</v>
      </c>
      <c r="D18" s="3" t="s">
        <v>8</v>
      </c>
      <c r="E18" s="2">
        <v>5</v>
      </c>
      <c r="F18" s="2">
        <v>50</v>
      </c>
      <c r="G18" s="4">
        <v>45505</v>
      </c>
      <c r="H18" s="10">
        <f t="shared" si="0"/>
        <v>250</v>
      </c>
    </row>
    <row r="19" spans="1:11" ht="15.75" customHeight="1" x14ac:dyDescent="0.3">
      <c r="A19" s="2">
        <v>1026</v>
      </c>
      <c r="B19" s="3" t="s">
        <v>53</v>
      </c>
      <c r="C19" s="3" t="s">
        <v>10</v>
      </c>
      <c r="D19" s="3" t="s">
        <v>14</v>
      </c>
      <c r="E19" s="2">
        <v>16</v>
      </c>
      <c r="F19" s="2">
        <v>25</v>
      </c>
      <c r="G19" s="4">
        <v>45506</v>
      </c>
      <c r="H19" s="10">
        <f t="shared" si="0"/>
        <v>400</v>
      </c>
    </row>
    <row r="20" spans="1:11" ht="15.75" customHeight="1" x14ac:dyDescent="0.3">
      <c r="A20" s="2">
        <v>1050</v>
      </c>
      <c r="B20" s="3" t="s">
        <v>90</v>
      </c>
      <c r="C20" s="3" t="s">
        <v>10</v>
      </c>
      <c r="D20" s="3" t="s">
        <v>11</v>
      </c>
      <c r="E20" s="2">
        <v>25</v>
      </c>
      <c r="F20" s="2">
        <v>10</v>
      </c>
      <c r="G20" s="4">
        <v>45507</v>
      </c>
      <c r="H20" s="10">
        <f t="shared" si="0"/>
        <v>250</v>
      </c>
    </row>
    <row r="21" spans="1:11" ht="15.75" customHeight="1" x14ac:dyDescent="0.3">
      <c r="A21" s="2">
        <v>1027</v>
      </c>
      <c r="B21" s="3" t="s">
        <v>54</v>
      </c>
      <c r="C21" s="3" t="s">
        <v>13</v>
      </c>
      <c r="D21" s="3" t="s">
        <v>18</v>
      </c>
      <c r="E21" s="2">
        <v>22</v>
      </c>
      <c r="F21" s="2">
        <v>5</v>
      </c>
      <c r="G21" s="4">
        <v>45537</v>
      </c>
      <c r="H21" s="10">
        <f t="shared" si="0"/>
        <v>110</v>
      </c>
    </row>
    <row r="22" spans="1:11" ht="15.75" customHeight="1" x14ac:dyDescent="0.3">
      <c r="A22" s="2">
        <v>1005</v>
      </c>
      <c r="B22" s="3" t="s">
        <v>17</v>
      </c>
      <c r="C22" s="3" t="s">
        <v>7</v>
      </c>
      <c r="D22" s="3" t="s">
        <v>18</v>
      </c>
      <c r="E22" s="2">
        <v>30</v>
      </c>
      <c r="F22" s="2">
        <v>5</v>
      </c>
      <c r="G22" s="4">
        <v>45566</v>
      </c>
      <c r="H22" s="10">
        <f t="shared" si="0"/>
        <v>150</v>
      </c>
    </row>
    <row r="23" spans="1:11" ht="15.75" customHeight="1" x14ac:dyDescent="0.3">
      <c r="A23" s="2">
        <v>1028</v>
      </c>
      <c r="B23" s="3" t="s">
        <v>55</v>
      </c>
      <c r="C23" s="3" t="s">
        <v>16</v>
      </c>
      <c r="D23" s="3" t="s">
        <v>21</v>
      </c>
      <c r="E23" s="2">
        <v>27</v>
      </c>
      <c r="F23" s="2">
        <v>8</v>
      </c>
      <c r="G23" s="4">
        <v>45567</v>
      </c>
      <c r="H23" s="10">
        <f t="shared" si="0"/>
        <v>216</v>
      </c>
    </row>
    <row r="24" spans="1:11" ht="15.75" customHeight="1" x14ac:dyDescent="0.3">
      <c r="A24" s="2">
        <v>1006</v>
      </c>
      <c r="B24" s="3" t="s">
        <v>19</v>
      </c>
      <c r="C24" s="3" t="s">
        <v>10</v>
      </c>
      <c r="D24" s="3" t="s">
        <v>8</v>
      </c>
      <c r="E24" s="2">
        <v>12</v>
      </c>
      <c r="F24" s="2">
        <v>50</v>
      </c>
      <c r="G24" s="4">
        <v>45597</v>
      </c>
      <c r="H24" s="10">
        <f t="shared" si="0"/>
        <v>600</v>
      </c>
    </row>
    <row r="25" spans="1:11" ht="15.75" customHeight="1" x14ac:dyDescent="0.3">
      <c r="A25" s="2">
        <v>1029</v>
      </c>
      <c r="B25" s="3" t="s">
        <v>56</v>
      </c>
      <c r="C25" s="3" t="s">
        <v>7</v>
      </c>
      <c r="D25" s="3" t="s">
        <v>8</v>
      </c>
      <c r="E25" s="2">
        <v>13</v>
      </c>
      <c r="F25" s="2">
        <v>50</v>
      </c>
      <c r="G25" s="4">
        <v>45628</v>
      </c>
      <c r="H25" s="10">
        <f t="shared" si="0"/>
        <v>650</v>
      </c>
    </row>
    <row r="26" spans="1:11" ht="15.75" customHeight="1" x14ac:dyDescent="0.3">
      <c r="A26" s="2">
        <v>1007</v>
      </c>
      <c r="B26" s="3" t="s">
        <v>20</v>
      </c>
      <c r="C26" s="3" t="s">
        <v>13</v>
      </c>
      <c r="D26" s="3" t="s">
        <v>21</v>
      </c>
      <c r="E26" s="2">
        <v>25</v>
      </c>
      <c r="F26" s="2">
        <v>8</v>
      </c>
      <c r="G26" s="2" t="s">
        <v>22</v>
      </c>
      <c r="H26" s="10">
        <f t="shared" si="0"/>
        <v>200</v>
      </c>
      <c r="J26" s="13" t="s">
        <v>123</v>
      </c>
      <c r="K26" s="13">
        <f>COUNTA(B2:B51)</f>
        <v>50</v>
      </c>
    </row>
    <row r="27" spans="1:11" ht="14.4" x14ac:dyDescent="0.3">
      <c r="A27" s="2">
        <v>1030</v>
      </c>
      <c r="B27" s="3" t="s">
        <v>57</v>
      </c>
      <c r="C27" s="3" t="s">
        <v>10</v>
      </c>
      <c r="D27" s="3" t="s">
        <v>11</v>
      </c>
      <c r="E27" s="2">
        <v>32</v>
      </c>
      <c r="F27" s="2">
        <v>10</v>
      </c>
      <c r="G27" s="2" t="s">
        <v>58</v>
      </c>
      <c r="H27" s="10">
        <f t="shared" si="0"/>
        <v>320</v>
      </c>
    </row>
    <row r="28" spans="1:11" ht="15.6" x14ac:dyDescent="0.3">
      <c r="A28" s="2">
        <v>1031</v>
      </c>
      <c r="B28" s="3" t="s">
        <v>59</v>
      </c>
      <c r="C28" s="3" t="s">
        <v>13</v>
      </c>
      <c r="D28" s="3" t="s">
        <v>14</v>
      </c>
      <c r="E28" s="2">
        <v>10</v>
      </c>
      <c r="F28" s="2">
        <v>25</v>
      </c>
      <c r="G28" s="2" t="s">
        <v>60</v>
      </c>
      <c r="H28" s="10">
        <f t="shared" si="0"/>
        <v>250</v>
      </c>
      <c r="J28" s="12" t="s">
        <v>124</v>
      </c>
      <c r="K28" s="12">
        <f>SUMIFS(H2:H51,D2:D51, "notebook",C2:C51, "north")</f>
        <v>2900</v>
      </c>
    </row>
    <row r="29" spans="1:11" ht="14.4" x14ac:dyDescent="0.3">
      <c r="A29" s="2">
        <v>1008</v>
      </c>
      <c r="B29" s="3" t="s">
        <v>23</v>
      </c>
      <c r="C29" s="3" t="s">
        <v>16</v>
      </c>
      <c r="D29" s="3" t="s">
        <v>11</v>
      </c>
      <c r="E29" s="2">
        <v>18</v>
      </c>
      <c r="F29" s="2">
        <v>10</v>
      </c>
      <c r="G29" s="2" t="s">
        <v>24</v>
      </c>
      <c r="H29" s="10">
        <f t="shared" si="0"/>
        <v>180</v>
      </c>
    </row>
    <row r="30" spans="1:11" ht="14.4" x14ac:dyDescent="0.3">
      <c r="A30" s="2">
        <v>1032</v>
      </c>
      <c r="B30" s="3" t="s">
        <v>61</v>
      </c>
      <c r="C30" s="3" t="s">
        <v>16</v>
      </c>
      <c r="D30" s="3" t="s">
        <v>18</v>
      </c>
      <c r="E30" s="2">
        <v>18</v>
      </c>
      <c r="F30" s="2">
        <v>5</v>
      </c>
      <c r="G30" s="2" t="s">
        <v>62</v>
      </c>
      <c r="H30" s="10">
        <f t="shared" si="0"/>
        <v>90</v>
      </c>
    </row>
    <row r="31" spans="1:11" ht="14.4" x14ac:dyDescent="0.3">
      <c r="A31" s="2">
        <v>1009</v>
      </c>
      <c r="B31" s="3" t="s">
        <v>25</v>
      </c>
      <c r="C31" s="3" t="s">
        <v>7</v>
      </c>
      <c r="D31" s="3" t="s">
        <v>14</v>
      </c>
      <c r="E31" s="2">
        <v>22</v>
      </c>
      <c r="F31" s="2">
        <v>25</v>
      </c>
      <c r="G31" s="2" t="s">
        <v>26</v>
      </c>
      <c r="H31" s="10">
        <f t="shared" si="0"/>
        <v>550</v>
      </c>
    </row>
    <row r="32" spans="1:11" ht="14.4" x14ac:dyDescent="0.3">
      <c r="A32" s="2">
        <v>1033</v>
      </c>
      <c r="B32" s="3" t="s">
        <v>63</v>
      </c>
      <c r="C32" s="3" t="s">
        <v>7</v>
      </c>
      <c r="D32" s="3" t="s">
        <v>21</v>
      </c>
      <c r="E32" s="2">
        <v>22</v>
      </c>
      <c r="F32" s="2">
        <v>8</v>
      </c>
      <c r="G32" s="2" t="s">
        <v>64</v>
      </c>
      <c r="H32" s="10">
        <f t="shared" si="0"/>
        <v>176</v>
      </c>
    </row>
    <row r="33" spans="1:8" ht="14.4" x14ac:dyDescent="0.3">
      <c r="A33" s="2">
        <v>1010</v>
      </c>
      <c r="B33" s="3" t="s">
        <v>27</v>
      </c>
      <c r="C33" s="3" t="s">
        <v>10</v>
      </c>
      <c r="D33" s="3" t="s">
        <v>8</v>
      </c>
      <c r="E33" s="2">
        <v>8</v>
      </c>
      <c r="F33" s="2">
        <v>50</v>
      </c>
      <c r="G33" s="2" t="s">
        <v>28</v>
      </c>
      <c r="H33" s="10">
        <f t="shared" si="0"/>
        <v>400</v>
      </c>
    </row>
    <row r="34" spans="1:8" ht="14.4" x14ac:dyDescent="0.3">
      <c r="A34" s="2">
        <v>1034</v>
      </c>
      <c r="B34" s="3" t="s">
        <v>65</v>
      </c>
      <c r="C34" s="3" t="s">
        <v>10</v>
      </c>
      <c r="D34" s="3" t="s">
        <v>8</v>
      </c>
      <c r="E34" s="2">
        <v>17</v>
      </c>
      <c r="F34" s="2">
        <v>50</v>
      </c>
      <c r="G34" s="2" t="s">
        <v>66</v>
      </c>
      <c r="H34" s="10">
        <f t="shared" si="0"/>
        <v>850</v>
      </c>
    </row>
    <row r="35" spans="1:8" ht="14.4" x14ac:dyDescent="0.3">
      <c r="A35" s="2">
        <v>1011</v>
      </c>
      <c r="B35" s="3" t="s">
        <v>29</v>
      </c>
      <c r="C35" s="3" t="s">
        <v>13</v>
      </c>
      <c r="D35" s="3" t="s">
        <v>18</v>
      </c>
      <c r="E35" s="2">
        <v>40</v>
      </c>
      <c r="F35" s="2">
        <v>5</v>
      </c>
      <c r="G35" s="2" t="s">
        <v>30</v>
      </c>
      <c r="H35" s="10">
        <f t="shared" si="0"/>
        <v>200</v>
      </c>
    </row>
    <row r="36" spans="1:8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  <c r="H36" s="10">
        <f t="shared" si="0"/>
        <v>190</v>
      </c>
    </row>
    <row r="37" spans="1:8" ht="14.4" x14ac:dyDescent="0.3">
      <c r="A37" s="2">
        <v>1012</v>
      </c>
      <c r="B37" s="3" t="s">
        <v>31</v>
      </c>
      <c r="C37" s="3" t="s">
        <v>16</v>
      </c>
      <c r="D37" s="3" t="s">
        <v>21</v>
      </c>
      <c r="E37" s="2">
        <v>35</v>
      </c>
      <c r="F37" s="2">
        <v>8</v>
      </c>
      <c r="G37" s="2" t="s">
        <v>32</v>
      </c>
      <c r="H37" s="10">
        <f t="shared" si="0"/>
        <v>280</v>
      </c>
    </row>
    <row r="38" spans="1:8" ht="14.4" x14ac:dyDescent="0.3">
      <c r="A38" s="2">
        <v>1036</v>
      </c>
      <c r="B38" s="3" t="s">
        <v>69</v>
      </c>
      <c r="C38" s="3" t="s">
        <v>16</v>
      </c>
      <c r="D38" s="3" t="s">
        <v>14</v>
      </c>
      <c r="E38" s="2">
        <v>15</v>
      </c>
      <c r="F38" s="2">
        <v>25</v>
      </c>
      <c r="G38" s="2" t="s">
        <v>70</v>
      </c>
      <c r="H38" s="10">
        <f t="shared" si="0"/>
        <v>375</v>
      </c>
    </row>
    <row r="39" spans="1:8" ht="14.4" x14ac:dyDescent="0.3">
      <c r="A39" s="2">
        <v>1013</v>
      </c>
      <c r="B39" s="3" t="s">
        <v>33</v>
      </c>
      <c r="C39" s="3" t="s">
        <v>7</v>
      </c>
      <c r="D39" s="3" t="s">
        <v>8</v>
      </c>
      <c r="E39" s="2">
        <v>14</v>
      </c>
      <c r="F39" s="2">
        <v>50</v>
      </c>
      <c r="G39" s="2" t="s">
        <v>34</v>
      </c>
      <c r="H39" s="10">
        <f t="shared" si="0"/>
        <v>700</v>
      </c>
    </row>
    <row r="40" spans="1:8" ht="14.4" x14ac:dyDescent="0.3">
      <c r="A40" s="2">
        <v>1037</v>
      </c>
      <c r="B40" s="3" t="s">
        <v>71</v>
      </c>
      <c r="C40" s="3" t="s">
        <v>7</v>
      </c>
      <c r="D40" s="3" t="s">
        <v>18</v>
      </c>
      <c r="E40" s="2">
        <v>28</v>
      </c>
      <c r="F40" s="2">
        <v>5</v>
      </c>
      <c r="G40" s="2" t="s">
        <v>72</v>
      </c>
      <c r="H40" s="10">
        <f t="shared" si="0"/>
        <v>140</v>
      </c>
    </row>
    <row r="41" spans="1:8" ht="14.4" x14ac:dyDescent="0.3">
      <c r="A41" s="2">
        <v>1014</v>
      </c>
      <c r="B41" s="3" t="s">
        <v>35</v>
      </c>
      <c r="C41" s="3" t="s">
        <v>10</v>
      </c>
      <c r="D41" s="3" t="s">
        <v>11</v>
      </c>
      <c r="E41" s="2">
        <v>28</v>
      </c>
      <c r="F41" s="2">
        <v>10</v>
      </c>
      <c r="G41" s="2" t="s">
        <v>36</v>
      </c>
      <c r="H41" s="10">
        <f t="shared" si="0"/>
        <v>280</v>
      </c>
    </row>
    <row r="42" spans="1:8" ht="14.4" x14ac:dyDescent="0.3">
      <c r="A42" s="2">
        <v>1038</v>
      </c>
      <c r="B42" s="3" t="s">
        <v>73</v>
      </c>
      <c r="C42" s="3" t="s">
        <v>10</v>
      </c>
      <c r="D42" s="3" t="s">
        <v>21</v>
      </c>
      <c r="E42" s="2">
        <v>24</v>
      </c>
      <c r="F42" s="2">
        <v>8</v>
      </c>
      <c r="G42" s="2" t="s">
        <v>74</v>
      </c>
      <c r="H42" s="10">
        <f t="shared" si="0"/>
        <v>192</v>
      </c>
    </row>
    <row r="43" spans="1:8" ht="14.4" x14ac:dyDescent="0.3">
      <c r="A43" s="2">
        <v>1015</v>
      </c>
      <c r="B43" s="3" t="s">
        <v>37</v>
      </c>
      <c r="C43" s="3" t="s">
        <v>13</v>
      </c>
      <c r="D43" s="3" t="s">
        <v>14</v>
      </c>
      <c r="E43" s="2">
        <v>12</v>
      </c>
      <c r="F43" s="2">
        <v>25</v>
      </c>
      <c r="G43" s="2" t="s">
        <v>38</v>
      </c>
      <c r="H43" s="10">
        <f t="shared" si="0"/>
        <v>300</v>
      </c>
    </row>
    <row r="44" spans="1:8" ht="14.4" x14ac:dyDescent="0.3">
      <c r="A44" s="2">
        <v>1039</v>
      </c>
      <c r="B44" s="3" t="s">
        <v>75</v>
      </c>
      <c r="C44" s="3" t="s">
        <v>13</v>
      </c>
      <c r="D44" s="3" t="s">
        <v>8</v>
      </c>
      <c r="E44" s="2">
        <v>16</v>
      </c>
      <c r="F44" s="2">
        <v>50</v>
      </c>
      <c r="G44" s="2" t="s">
        <v>76</v>
      </c>
      <c r="H44" s="10">
        <f t="shared" si="0"/>
        <v>800</v>
      </c>
    </row>
    <row r="45" spans="1:8" ht="14.4" x14ac:dyDescent="0.3">
      <c r="A45" s="2">
        <v>1016</v>
      </c>
      <c r="B45" s="3" t="s">
        <v>39</v>
      </c>
      <c r="C45" s="3" t="s">
        <v>16</v>
      </c>
      <c r="D45" s="3" t="s">
        <v>18</v>
      </c>
      <c r="E45" s="2">
        <v>25</v>
      </c>
      <c r="F45" s="2">
        <v>5</v>
      </c>
      <c r="G45" s="2" t="s">
        <v>40</v>
      </c>
      <c r="H45" s="10">
        <f t="shared" si="0"/>
        <v>125</v>
      </c>
    </row>
    <row r="46" spans="1:8" ht="14.4" x14ac:dyDescent="0.3">
      <c r="A46" s="2">
        <v>1040</v>
      </c>
      <c r="B46" s="3" t="s">
        <v>77</v>
      </c>
      <c r="C46" s="3" t="s">
        <v>16</v>
      </c>
      <c r="D46" s="3" t="s">
        <v>11</v>
      </c>
      <c r="E46" s="2">
        <v>27</v>
      </c>
      <c r="F46" s="2">
        <v>10</v>
      </c>
      <c r="G46" s="2" t="s">
        <v>78</v>
      </c>
      <c r="H46" s="10">
        <f t="shared" si="0"/>
        <v>270</v>
      </c>
    </row>
    <row r="47" spans="1:8" ht="14.4" x14ac:dyDescent="0.3">
      <c r="A47" s="2">
        <v>1041</v>
      </c>
      <c r="B47" s="3" t="s">
        <v>79</v>
      </c>
      <c r="C47" s="3" t="s">
        <v>7</v>
      </c>
      <c r="D47" s="3" t="s">
        <v>14</v>
      </c>
      <c r="E47" s="2">
        <v>21</v>
      </c>
      <c r="F47" s="2">
        <v>25</v>
      </c>
      <c r="G47" s="2" t="s">
        <v>80</v>
      </c>
      <c r="H47" s="10">
        <f t="shared" si="0"/>
        <v>525</v>
      </c>
    </row>
    <row r="48" spans="1:8" ht="14.4" x14ac:dyDescent="0.3">
      <c r="A48" s="2">
        <v>1017</v>
      </c>
      <c r="B48" s="3" t="s">
        <v>41</v>
      </c>
      <c r="C48" s="3" t="s">
        <v>7</v>
      </c>
      <c r="D48" s="3" t="s">
        <v>21</v>
      </c>
      <c r="E48" s="2">
        <v>20</v>
      </c>
      <c r="F48" s="2">
        <v>8</v>
      </c>
      <c r="G48" s="2" t="s">
        <v>42</v>
      </c>
      <c r="H48" s="10">
        <f t="shared" si="0"/>
        <v>160</v>
      </c>
    </row>
    <row r="49" spans="1:10" ht="14.4" x14ac:dyDescent="0.3">
      <c r="A49" s="2">
        <v>1042</v>
      </c>
      <c r="B49" s="3" t="s">
        <v>81</v>
      </c>
      <c r="C49" s="3" t="s">
        <v>10</v>
      </c>
      <c r="D49" s="3" t="s">
        <v>18</v>
      </c>
      <c r="E49" s="2">
        <v>30</v>
      </c>
      <c r="F49" s="2">
        <v>5</v>
      </c>
      <c r="G49" s="2" t="s">
        <v>82</v>
      </c>
      <c r="H49" s="10">
        <f t="shared" si="0"/>
        <v>150</v>
      </c>
      <c r="J49" s="14" t="s">
        <v>126</v>
      </c>
    </row>
    <row r="50" spans="1:10" ht="14.4" x14ac:dyDescent="0.3">
      <c r="A50" s="2">
        <v>1018</v>
      </c>
      <c r="B50" s="3" t="s">
        <v>43</v>
      </c>
      <c r="C50" s="3" t="s">
        <v>10</v>
      </c>
      <c r="D50" s="3" t="s">
        <v>8</v>
      </c>
      <c r="E50" s="2">
        <v>10</v>
      </c>
      <c r="F50" s="2">
        <v>50</v>
      </c>
      <c r="G50" s="2" t="s">
        <v>44</v>
      </c>
      <c r="H50" s="10">
        <f t="shared" si="0"/>
        <v>500</v>
      </c>
    </row>
    <row r="51" spans="1:10" ht="14.4" x14ac:dyDescent="0.3">
      <c r="A51" s="2">
        <v>1019</v>
      </c>
      <c r="B51" s="3" t="s">
        <v>45</v>
      </c>
      <c r="C51" s="3" t="s">
        <v>13</v>
      </c>
      <c r="D51" s="3" t="s">
        <v>11</v>
      </c>
      <c r="E51" s="2">
        <v>15</v>
      </c>
      <c r="F51" s="2">
        <v>10</v>
      </c>
      <c r="G51" s="2" t="s">
        <v>46</v>
      </c>
      <c r="H51" s="10">
        <f t="shared" si="0"/>
        <v>150</v>
      </c>
    </row>
    <row r="52" spans="1:10" ht="14.4" x14ac:dyDescent="0.3">
      <c r="A52" s="3"/>
      <c r="B52" s="3"/>
      <c r="C52" s="3"/>
      <c r="D52" s="3"/>
      <c r="E52" s="3"/>
      <c r="F52" s="3"/>
      <c r="G52" s="3"/>
    </row>
    <row r="53" spans="1:10" ht="14.4" x14ac:dyDescent="0.3">
      <c r="A53" s="3"/>
      <c r="B53" s="3"/>
      <c r="C53" s="3"/>
      <c r="D53" s="3"/>
      <c r="E53" s="3"/>
      <c r="F53" s="3"/>
      <c r="G53" s="3"/>
    </row>
  </sheetData>
  <autoFilter ref="A1:G51" xr:uid="{00000000-0009-0000-0000-000000000000}">
    <sortState xmlns:xlrd2="http://schemas.microsoft.com/office/spreadsheetml/2017/richdata2" ref="A2:G51">
      <sortCondition ref="G1:G51"/>
    </sortState>
  </autoFilter>
  <sortState xmlns:xlrd2="http://schemas.microsoft.com/office/spreadsheetml/2017/richdata2" ref="A2:G52">
    <sortCondition descending="1" ref="G1:G5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2CC4-947D-4DCD-8075-B208CF71FB23}">
  <dimension ref="A3:C20"/>
  <sheetViews>
    <sheetView topLeftCell="A2" workbookViewId="0">
      <selection activeCell="F24" sqref="F24"/>
    </sheetView>
  </sheetViews>
  <sheetFormatPr defaultRowHeight="13.2" x14ac:dyDescent="0.25"/>
  <cols>
    <col min="1" max="1" width="12.33203125" bestFit="1" customWidth="1"/>
    <col min="2" max="2" width="20.44140625" bestFit="1" customWidth="1"/>
    <col min="3" max="3" width="19.109375" bestFit="1" customWidth="1"/>
  </cols>
  <sheetData>
    <row r="3" spans="1:2" x14ac:dyDescent="0.25">
      <c r="A3" s="5" t="s">
        <v>93</v>
      </c>
      <c r="B3" t="s">
        <v>94</v>
      </c>
    </row>
    <row r="4" spans="1:2" x14ac:dyDescent="0.25">
      <c r="A4" t="s">
        <v>21</v>
      </c>
      <c r="B4" s="6">
        <v>1928</v>
      </c>
    </row>
    <row r="5" spans="1:2" x14ac:dyDescent="0.25">
      <c r="A5" t="s">
        <v>14</v>
      </c>
      <c r="B5" s="6">
        <v>3650</v>
      </c>
    </row>
    <row r="6" spans="1:2" x14ac:dyDescent="0.25">
      <c r="A6" t="s">
        <v>8</v>
      </c>
      <c r="B6" s="6">
        <v>7550</v>
      </c>
    </row>
    <row r="7" spans="1:2" x14ac:dyDescent="0.25">
      <c r="A7" t="s">
        <v>11</v>
      </c>
      <c r="B7" s="6">
        <v>2180</v>
      </c>
    </row>
    <row r="8" spans="1:2" x14ac:dyDescent="0.25">
      <c r="A8" t="s">
        <v>18</v>
      </c>
      <c r="B8" s="6">
        <v>1235</v>
      </c>
    </row>
    <row r="20" spans="3:3" x14ac:dyDescent="0.25">
      <c r="C20" s="11" t="s">
        <v>125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Question1,2,3</vt:lpstr>
      <vt:lpstr>Question4,5,6,8</vt:lpstr>
      <vt:lpstr>Question7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Chaudhary</dc:creator>
  <cp:lastModifiedBy>Anshika Chaudhary</cp:lastModifiedBy>
  <dcterms:created xsi:type="dcterms:W3CDTF">2026-01-12T12:00:53Z</dcterms:created>
  <dcterms:modified xsi:type="dcterms:W3CDTF">2026-01-12T12:00:53Z</dcterms:modified>
</cp:coreProperties>
</file>